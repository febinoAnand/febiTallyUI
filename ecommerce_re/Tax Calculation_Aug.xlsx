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490" windowHeight="6870" activeTab="3"/>
  </bookViews>
  <sheets>
    <sheet name="Input" sheetId="11" r:id="rId1"/>
    <sheet name="B2B-CDNR" sheetId="30" r:id="rId2"/>
    <sheet name="SALES" sheetId="1" r:id="rId3"/>
    <sheet name="TAX CALCULATION" sheetId="8" r:id="rId4"/>
    <sheet name="Amazon_B2b" sheetId="16" r:id="rId5"/>
    <sheet name="State wise" sheetId="37" r:id="rId6"/>
    <sheet name="hsn Code" sheetId="33" r:id="rId7"/>
    <sheet name="Document" sheetId="34" r:id="rId8"/>
    <sheet name="Consolidated" sheetId="40" r:id="rId9"/>
    <sheet name="HSN Consolidated" sheetId="42" r:id="rId10"/>
  </sheets>
  <externalReferences>
    <externalReference r:id="rId11"/>
  </externalReferences>
  <definedNames>
    <definedName name="Sheet_1_ListCol_1">[1]INTER!$A$8:$A$45</definedName>
  </definedNames>
  <calcPr calcId="144525"/>
</workbook>
</file>

<file path=xl/calcChain.xml><?xml version="1.0" encoding="utf-8"?>
<calcChain xmlns="http://schemas.openxmlformats.org/spreadsheetml/2006/main">
  <c r="J17" i="8" l="1"/>
  <c r="F6" i="8"/>
  <c r="E6" i="8"/>
  <c r="D6" i="8"/>
  <c r="C6" i="8"/>
  <c r="F5" i="8"/>
  <c r="E5" i="8"/>
  <c r="D5" i="8"/>
  <c r="C5" i="8"/>
  <c r="G10" i="30"/>
  <c r="H10" i="30"/>
  <c r="I10" i="30"/>
  <c r="J10" i="30"/>
  <c r="K10" i="30"/>
  <c r="L10" i="30"/>
  <c r="M10" i="30"/>
  <c r="F11" i="11"/>
  <c r="G11" i="11"/>
  <c r="H11" i="11"/>
  <c r="I11" i="11"/>
  <c r="J11" i="11"/>
  <c r="K11" i="11"/>
  <c r="L11" i="11"/>
  <c r="I12" i="33" l="1"/>
  <c r="J12" i="33" s="1"/>
  <c r="G12" i="33"/>
  <c r="G4" i="34" l="1"/>
  <c r="D16" i="1" l="1"/>
  <c r="C26" i="37"/>
  <c r="J14" i="33"/>
  <c r="I14" i="33"/>
  <c r="H14" i="33"/>
  <c r="G14" i="33"/>
  <c r="K22" i="33"/>
  <c r="C12" i="37"/>
  <c r="C11" i="37"/>
  <c r="C10" i="37"/>
  <c r="C9" i="37"/>
  <c r="C8" i="37"/>
  <c r="H7" i="37"/>
  <c r="C7" i="37" s="1"/>
  <c r="F23" i="37"/>
  <c r="D22" i="37"/>
  <c r="D21" i="37"/>
  <c r="D20" i="37"/>
  <c r="D19" i="37"/>
  <c r="J4" i="42" l="1"/>
  <c r="K4" i="42" s="1"/>
  <c r="F13" i="42"/>
  <c r="D14" i="1" l="1"/>
  <c r="G13" i="42"/>
  <c r="H13" i="42"/>
  <c r="I13" i="42"/>
  <c r="C9" i="40"/>
  <c r="D9" i="40"/>
  <c r="E9" i="40"/>
  <c r="F9" i="40"/>
  <c r="G9" i="40"/>
  <c r="D15" i="37" l="1"/>
  <c r="D15" i="1" s="1"/>
  <c r="D14" i="33"/>
  <c r="F14" i="33"/>
  <c r="D13" i="1"/>
  <c r="D26" i="37"/>
  <c r="E26" i="37"/>
  <c r="F26" i="37"/>
  <c r="I4" i="34"/>
  <c r="F11" i="16"/>
  <c r="D41" i="1" s="1"/>
  <c r="J4" i="33" l="1"/>
  <c r="K4" i="33" s="1"/>
  <c r="C15" i="37" l="1"/>
  <c r="I6" i="16"/>
  <c r="J6" i="16" l="1"/>
  <c r="K6" i="16" s="1"/>
  <c r="E7" i="42" l="1"/>
  <c r="G7" i="42"/>
  <c r="F7" i="42"/>
  <c r="J7" i="42"/>
  <c r="I7" i="42"/>
  <c r="K7" i="42" l="1"/>
  <c r="D57" i="1"/>
  <c r="D9" i="8" l="1"/>
  <c r="J22" i="33" l="1"/>
  <c r="I22" i="33"/>
  <c r="H22" i="33"/>
  <c r="G22" i="33"/>
  <c r="F22" i="33"/>
  <c r="E22" i="33"/>
  <c r="I7" i="33"/>
  <c r="G7" i="33"/>
  <c r="F7" i="33"/>
  <c r="J7" i="33"/>
  <c r="J11" i="16"/>
  <c r="I11" i="16"/>
  <c r="H11" i="16"/>
  <c r="D58" i="1" l="1"/>
  <c r="K11" i="16"/>
  <c r="K7" i="33"/>
  <c r="C23" i="8"/>
  <c r="D59" i="1" l="1"/>
  <c r="H15" i="37" l="1"/>
  <c r="G15" i="37"/>
  <c r="F15" i="37"/>
  <c r="F21" i="1" l="1"/>
  <c r="G21" i="1" s="1"/>
  <c r="J5" i="8" l="1"/>
  <c r="J6" i="8" s="1"/>
  <c r="C9" i="8"/>
  <c r="F9" i="8" l="1"/>
  <c r="L5" i="8" s="1"/>
  <c r="E9" i="8"/>
  <c r="K5" i="8" s="1"/>
  <c r="E20" i="1" l="1"/>
  <c r="D67" i="1" l="1"/>
  <c r="D66" i="1"/>
  <c r="D60" i="1"/>
  <c r="D61" i="1"/>
  <c r="D62" i="1"/>
  <c r="D64" i="1" l="1"/>
  <c r="C32" i="8" l="1"/>
  <c r="D68" i="1"/>
  <c r="D65" i="1" l="1"/>
  <c r="D46" i="1"/>
  <c r="K10" i="1" l="1"/>
  <c r="K16" i="1"/>
  <c r="L9" i="1" l="1"/>
  <c r="E58" i="1"/>
  <c r="G57" i="1"/>
  <c r="F57" i="1"/>
  <c r="E40" i="1"/>
  <c r="F41" i="1" l="1"/>
  <c r="G41" i="1" s="1"/>
  <c r="F18" i="1" l="1"/>
  <c r="F62" i="1" s="1"/>
  <c r="F16" i="1"/>
  <c r="E15" i="1" l="1"/>
  <c r="N15" i="1"/>
  <c r="M15" i="1"/>
  <c r="E69" i="1"/>
  <c r="D69" i="1"/>
  <c r="G61" i="1"/>
  <c r="F61" i="1"/>
  <c r="E60" i="1"/>
  <c r="G59" i="1"/>
  <c r="F59" i="1"/>
  <c r="L10" i="1"/>
  <c r="M16" i="1"/>
  <c r="G18" i="1"/>
  <c r="G62" i="1" s="1"/>
  <c r="G16" i="1"/>
  <c r="G60" i="1" s="1"/>
  <c r="F25" i="1"/>
  <c r="G25" i="1" s="1"/>
  <c r="G69" i="1" s="1"/>
  <c r="F60" i="1" l="1"/>
  <c r="E61" i="1"/>
  <c r="F69" i="1"/>
  <c r="E59" i="1"/>
  <c r="D23" i="8" s="1"/>
  <c r="E23" i="8" l="1"/>
  <c r="F23" i="8"/>
  <c r="G68" i="1" l="1"/>
  <c r="F68" i="1"/>
  <c r="E67" i="1"/>
  <c r="E24" i="1"/>
  <c r="E68" i="1" s="1"/>
  <c r="E43" i="1" l="1"/>
  <c r="F44" i="1" l="1"/>
  <c r="G66" i="1" l="1"/>
  <c r="F66" i="1"/>
  <c r="F23" i="1"/>
  <c r="E22" i="1"/>
  <c r="E66" i="1" l="1"/>
  <c r="G23" i="1"/>
  <c r="F67" i="1"/>
  <c r="G67" i="1" l="1"/>
  <c r="J20" i="8" l="1"/>
  <c r="D51" i="1" l="1"/>
  <c r="D54" i="1"/>
  <c r="D55" i="1"/>
  <c r="J29" i="8" l="1"/>
  <c r="L29" i="8" l="1"/>
  <c r="K29" i="8"/>
  <c r="K13" i="1" l="1"/>
  <c r="K7" i="1"/>
  <c r="D52" i="1"/>
  <c r="E37" i="1"/>
  <c r="F35" i="1"/>
  <c r="G35" i="1" s="1"/>
  <c r="E46" i="1" l="1"/>
  <c r="F38" i="1" l="1"/>
  <c r="G38" i="1" l="1"/>
  <c r="G44" i="1"/>
  <c r="N14" i="1"/>
  <c r="M14" i="1"/>
  <c r="K14" i="1"/>
  <c r="L8" i="1"/>
  <c r="K8" i="1"/>
  <c r="E65" i="1"/>
  <c r="F64" i="1"/>
  <c r="E55" i="1"/>
  <c r="G54" i="1"/>
  <c r="F54" i="1"/>
  <c r="E10" i="1"/>
  <c r="F11" i="1"/>
  <c r="M10" i="1" l="1"/>
  <c r="L16" i="1"/>
  <c r="F65" i="1"/>
  <c r="E64" i="1"/>
  <c r="G46" i="1"/>
  <c r="F46" i="1"/>
  <c r="G11" i="1"/>
  <c r="L14" i="1"/>
  <c r="M8" i="1"/>
  <c r="E54" i="1"/>
  <c r="F55" i="1"/>
  <c r="G55" i="1" l="1"/>
  <c r="N16" i="1"/>
  <c r="G64" i="1"/>
  <c r="N10" i="1"/>
  <c r="G65" i="1"/>
  <c r="N8" i="1"/>
  <c r="K22" i="8" l="1"/>
  <c r="L6" i="8"/>
  <c r="L17" i="8" s="1"/>
  <c r="K6" i="8"/>
  <c r="K17" i="8" l="1"/>
  <c r="M6" i="8"/>
  <c r="L20" i="8"/>
  <c r="K24" i="8"/>
  <c r="K32" i="8" s="1"/>
  <c r="K9" i="1" l="1"/>
  <c r="F14" i="1"/>
  <c r="G14" i="1" s="1"/>
  <c r="E13" i="1"/>
  <c r="G26" i="1" l="1"/>
  <c r="N9" i="1"/>
  <c r="N18" i="1" s="1"/>
  <c r="G58" i="1"/>
  <c r="G70" i="1" s="1"/>
  <c r="F13" i="8" s="1"/>
  <c r="F16" i="8" s="1"/>
  <c r="L8" i="8" s="1"/>
  <c r="L10" i="8" s="1"/>
  <c r="L12" i="8" s="1"/>
  <c r="L15" i="1"/>
  <c r="L18" i="1" s="1"/>
  <c r="E57" i="1"/>
  <c r="E70" i="1" s="1"/>
  <c r="D13" i="8" s="1"/>
  <c r="D16" i="8" s="1"/>
  <c r="J8" i="8" s="1"/>
  <c r="J10" i="8" s="1"/>
  <c r="J12" i="8" s="1"/>
  <c r="E26" i="1"/>
  <c r="M9" i="1"/>
  <c r="M18" i="1" s="1"/>
  <c r="K15" i="1"/>
  <c r="K18" i="1" s="1"/>
  <c r="D70" i="1"/>
  <c r="C13" i="8" s="1"/>
  <c r="F58" i="1"/>
  <c r="F70" i="1" s="1"/>
  <c r="E13" i="8" s="1"/>
  <c r="E16" i="8" s="1"/>
  <c r="K8" i="8" s="1"/>
  <c r="K10" i="8" s="1"/>
  <c r="K12" i="8" s="1"/>
  <c r="K14" i="8" s="1"/>
  <c r="K21" i="8" s="1"/>
  <c r="D26" i="1"/>
  <c r="F26" i="1"/>
  <c r="C16" i="8" l="1"/>
  <c r="L22" i="8"/>
  <c r="L24" i="8" s="1"/>
  <c r="L32" i="8" s="1"/>
  <c r="L14" i="8"/>
  <c r="L21" i="8" s="1"/>
  <c r="J24" i="8" s="1"/>
  <c r="J14" i="8"/>
  <c r="J32" i="8" l="1"/>
  <c r="M17" i="8"/>
  <c r="M14" i="8"/>
</calcChain>
</file>

<file path=xl/sharedStrings.xml><?xml version="1.0" encoding="utf-8"?>
<sst xmlns="http://schemas.openxmlformats.org/spreadsheetml/2006/main" count="423" uniqueCount="179">
  <si>
    <t>Local</t>
  </si>
  <si>
    <t>Interstate</t>
  </si>
  <si>
    <t>IGST</t>
  </si>
  <si>
    <t>CGST</t>
  </si>
  <si>
    <t>SGST</t>
  </si>
  <si>
    <t>Sales- State Wise</t>
  </si>
  <si>
    <t>PURCHASE</t>
  </si>
  <si>
    <t>PARTICULARS</t>
  </si>
  <si>
    <t xml:space="preserve">AMOUNT </t>
  </si>
  <si>
    <t>MONTH</t>
  </si>
  <si>
    <t>SALES</t>
  </si>
  <si>
    <t>ITC</t>
  </si>
  <si>
    <t>OUTPUT tax</t>
  </si>
  <si>
    <t>Input</t>
  </si>
  <si>
    <t>Tax to be Paid</t>
  </si>
  <si>
    <t>ITC:</t>
  </si>
  <si>
    <t>Tax rate</t>
  </si>
  <si>
    <t>Amazon- I/S</t>
  </si>
  <si>
    <t>Amazon- Local</t>
  </si>
  <si>
    <t>TAXABLE VALUE</t>
  </si>
  <si>
    <t>TAX RATE</t>
  </si>
  <si>
    <t>Paid through Cash Ledger</t>
  </si>
  <si>
    <t>Balance in Cash Ledger</t>
  </si>
  <si>
    <t>Balance in ITC</t>
  </si>
  <si>
    <t>Balance in ITC Ledger</t>
  </si>
  <si>
    <t>Paid through ITC Ledger-IGST</t>
  </si>
  <si>
    <t>Cash ledger- ITC</t>
  </si>
  <si>
    <t>Sales- percentage Wise- B2CS</t>
  </si>
  <si>
    <t>Sales- percentage Wise- B2B</t>
  </si>
  <si>
    <t>Invoice Amount</t>
  </si>
  <si>
    <t>Consolidated</t>
  </si>
  <si>
    <t>Amazon</t>
  </si>
  <si>
    <t>TCS :</t>
  </si>
  <si>
    <t xml:space="preserve">IGST Utilised in </t>
  </si>
  <si>
    <t>Less: Credit Note</t>
  </si>
  <si>
    <t>As per GSTR 2B</t>
  </si>
  <si>
    <t>Flipkart-I/s</t>
  </si>
  <si>
    <t>Flipkart-Local</t>
  </si>
  <si>
    <t>CGST/SGST</t>
  </si>
  <si>
    <t>Ship To State</t>
  </si>
  <si>
    <t>Tax Exclusive Gross</t>
  </si>
  <si>
    <t>Meeesho_I/s</t>
  </si>
  <si>
    <t>Meesho_I/s</t>
  </si>
  <si>
    <t>Invoice Date</t>
  </si>
  <si>
    <t>Meeesho_Local</t>
  </si>
  <si>
    <t>Meesho_Local</t>
  </si>
  <si>
    <t>Invoice No</t>
  </si>
  <si>
    <t>Name of the Customer</t>
  </si>
  <si>
    <t>GST No.</t>
  </si>
  <si>
    <t>Invoice Value</t>
  </si>
  <si>
    <t>Flipkart</t>
  </si>
  <si>
    <t>Tax Rate</t>
  </si>
  <si>
    <t>sales</t>
  </si>
  <si>
    <t>Paid through ITC Ledger-CGST</t>
  </si>
  <si>
    <t>Paid through ITC Ledger-SGST</t>
  </si>
  <si>
    <t>Add: Debit Note</t>
  </si>
  <si>
    <t>HSN CODE</t>
  </si>
  <si>
    <t>Invoice Series From</t>
  </si>
  <si>
    <t>Invoice Series 
To</t>
  </si>
  <si>
    <t>Total Number of Invoices</t>
  </si>
  <si>
    <t>Cancelled if any</t>
  </si>
  <si>
    <t>Net invoices Issued</t>
  </si>
  <si>
    <t>Difference</t>
  </si>
  <si>
    <t>B2CS</t>
  </si>
  <si>
    <t>CREDIT NOTE</t>
  </si>
  <si>
    <t>GSTR 1 Filed</t>
  </si>
  <si>
    <t>Cash Ledger_October</t>
  </si>
  <si>
    <t>ITC AVAILABLE</t>
  </si>
  <si>
    <t>flipkart</t>
  </si>
  <si>
    <t>b2cs</t>
  </si>
  <si>
    <t>Amazon Seller Services_  33AAICA3918J1C0</t>
  </si>
  <si>
    <t>Fashnear Technologies Pvt Ltd_33AACCF0683K1CZ</t>
  </si>
  <si>
    <t>Flipkart Internet Private Limited_</t>
  </si>
  <si>
    <t xml:space="preserve">  Quantity in Nos.</t>
  </si>
  <si>
    <t>B2b</t>
  </si>
  <si>
    <t>.</t>
  </si>
  <si>
    <t>Quantity</t>
  </si>
  <si>
    <t>Hsn/sac</t>
  </si>
  <si>
    <t>Flipkart _TCS negative value</t>
  </si>
  <si>
    <t>igst</t>
  </si>
  <si>
    <t>cgst</t>
  </si>
  <si>
    <t>sgst</t>
  </si>
  <si>
    <t>Kerala</t>
  </si>
  <si>
    <t>Karnataka</t>
  </si>
  <si>
    <t>0</t>
  </si>
  <si>
    <t xml:space="preserve"> </t>
  </si>
  <si>
    <t>ANDHRA PRADESH Total</t>
  </si>
  <si>
    <t>KARNATAKA Total</t>
  </si>
  <si>
    <t>KERALA Total</t>
  </si>
  <si>
    <t>TELANGANA Total</t>
  </si>
  <si>
    <t>4201 Total</t>
  </si>
  <si>
    <t>MAHARASHTRA Total</t>
  </si>
  <si>
    <t>TAMIL NADU Total</t>
  </si>
  <si>
    <t>WEST BENGAL Total</t>
  </si>
  <si>
    <t>Andhra Pradesh</t>
  </si>
  <si>
    <t xml:space="preserve">Andhra Pradesh  </t>
  </si>
  <si>
    <t xml:space="preserve">Karnataka  </t>
  </si>
  <si>
    <t xml:space="preserve">Kerala  </t>
  </si>
  <si>
    <t xml:space="preserve">MAHARASHTRA    </t>
  </si>
  <si>
    <t xml:space="preserve">TAMIL NADU    </t>
  </si>
  <si>
    <t xml:space="preserve">TELANGANA    </t>
  </si>
  <si>
    <t xml:space="preserve">WEST BENGAL    </t>
  </si>
  <si>
    <t>qty</t>
  </si>
  <si>
    <t>IN-116</t>
  </si>
  <si>
    <t>SREE VENKATESWARA AGENCIES</t>
  </si>
  <si>
    <t>33AEWFS0631M1ZL</t>
  </si>
  <si>
    <t>CN-16</t>
  </si>
  <si>
    <t>LWAB61V270000101</t>
  </si>
  <si>
    <t>LWAB61V270000129</t>
  </si>
  <si>
    <t>29</t>
  </si>
  <si>
    <t>Himachal Pradesh</t>
  </si>
  <si>
    <t>Telangana</t>
  </si>
  <si>
    <t>cancelled</t>
  </si>
  <si>
    <t>free replacement</t>
  </si>
  <si>
    <t>B2B BILL</t>
  </si>
  <si>
    <t>CN-13</t>
  </si>
  <si>
    <t>Goods and Services Tax  - GSTR-2B</t>
  </si>
  <si>
    <t>Taxable inward supplies received from registered persons</t>
  </si>
  <si>
    <t>GSTIN of supplier</t>
  </si>
  <si>
    <t>Trade/Legal name</t>
  </si>
  <si>
    <t>Invoice Details</t>
  </si>
  <si>
    <t>Place of supply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</si>
  <si>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</si>
  <si>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</si>
  <si>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</si>
  <si>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</si>
  <si>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</si>
  <si>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ITC Availability</t>
  </si>
  <si>
    <t>Reason</t>
  </si>
  <si>
    <t>Applicable % of Tax Rate</t>
  </si>
  <si>
    <t>Source</t>
  </si>
  <si>
    <t>IRN</t>
  </si>
  <si>
    <t>IRN Date</t>
  </si>
  <si>
    <t>Invoice number</t>
  </si>
  <si>
    <t>Invoice type</t>
  </si>
  <si>
    <t>Invoice Value(₹)</t>
  </si>
  <si>
    <t>Integrated Tax(₹)</t>
  </si>
  <si>
    <t>Central Tax(₹)</t>
  </si>
  <si>
    <t>State/UT Tax(₹)</t>
  </si>
  <si>
    <t>Cess(₹)</t>
  </si>
  <si>
    <t>29AAICA3918J1ZE</t>
  </si>
  <si>
    <t>AMAZON SELLER SERVICES PVT LTD</t>
  </si>
  <si>
    <t>KA-2627-1841559</t>
  </si>
  <si>
    <t>Regular</t>
  </si>
  <si>
    <t>31/08/2026</t>
  </si>
  <si>
    <t>Tamil Nadu</t>
  </si>
  <si>
    <t>No</t>
  </si>
  <si>
    <t>Aug'26</t>
  </si>
  <si>
    <t>11/09/2026</t>
  </si>
  <si>
    <t>Yes</t>
  </si>
  <si>
    <t/>
  </si>
  <si>
    <t>100%</t>
  </si>
  <si>
    <t>KA-2627-1842315</t>
  </si>
  <si>
    <t>33AAJCC8517E1ZS</t>
  </si>
  <si>
    <t>COCOBLU RETAIL LIMITED</t>
  </si>
  <si>
    <t>MAA4-2791806</t>
  </si>
  <si>
    <t>15/08/2026</t>
  </si>
  <si>
    <t>29AACCF0683K1ZD</t>
  </si>
  <si>
    <t>FLIPKART INTERNET PRIVATE LIMITED</t>
  </si>
  <si>
    <t>FKRKA27000994321</t>
  </si>
  <si>
    <t>10/09/2026</t>
  </si>
  <si>
    <t>Debit/Credit notes (Original)</t>
  </si>
  <si>
    <t>Credit note/Debit note details</t>
  </si>
  <si>
    <t>Whether ITC to be reduced (Taxpayer's Input)</t>
  </si>
  <si>
    <t>Amount declared by taxpayer for ITC reduction</t>
  </si>
  <si>
    <t>Remarks</t>
  </si>
  <si>
    <t>GSTR-1/IFF/1A/GSTR-5 Period</t>
  </si>
  <si>
    <t>GSTR-1/IFF/1A/GSTR-5 Filing Date</t>
  </si>
  <si>
    <t>Note number</t>
  </si>
  <si>
    <t>Note type</t>
  </si>
  <si>
    <t>Note Supply type</t>
  </si>
  <si>
    <t>Note date</t>
  </si>
  <si>
    <t>Note Value (₹)</t>
  </si>
  <si>
    <t>KA-C-27-1254729</t>
  </si>
  <si>
    <t>Credit Note</t>
  </si>
  <si>
    <t>NA</t>
  </si>
  <si>
    <t>No remarks available</t>
  </si>
  <si>
    <t>KA-C-27-1254730</t>
  </si>
  <si>
    <t>FKCKA27000599775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</si>
</sst>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 * #,##0.00_ ;_ * \-#,##0.00_ ;_ * &quot;-&quot;??_ ;_ @_ "/>
    <numFmt numFmtId="165" formatCode="_-* #,##0.00_-;_-* #,##0.00\-;_-* &quot;-&quot;??_-;_-@_-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212121"/>
      <name val="Verdan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indexed="8"/>
      <name val="Verdana"/>
      <family val="2"/>
    </font>
    <font>
      <sz val="10"/>
      <color theme="1"/>
      <name val="Comic Sans MS"/>
      <family val="4"/>
    </font>
    <font>
      <b/>
      <u/>
      <sz val="10"/>
      <color theme="1"/>
      <name val="Comic Sans MS"/>
      <family val="4"/>
    </font>
    <font>
      <b/>
      <sz val="10"/>
      <color theme="1"/>
      <name val="Comic Sans MS"/>
      <family val="4"/>
    </font>
    <font>
      <sz val="9"/>
      <color theme="1"/>
      <name val="Comic Sans MS"/>
      <family val="4"/>
    </font>
    <font>
      <sz val="10"/>
      <color rgb="FF212121"/>
      <name val="Verdana"/>
      <family val="2"/>
    </font>
    <font>
      <sz val="12"/>
      <color indexed="8"/>
      <name val="Verdana"/>
      <family val="2"/>
    </font>
    <font>
      <sz val="11"/>
      <color rgb="FF212121"/>
      <name val="Calibri"/>
      <family val="2"/>
      <scheme val="minor"/>
    </font>
    <font>
      <b/>
      <sz val="12"/>
      <color indexed="8"/>
      <name val="Arial Narrow"/>
      <family val="2"/>
    </font>
    <font>
      <b/>
      <sz val="10"/>
      <color theme="1"/>
      <name val="Calibri Light"/>
      <family val="2"/>
    </font>
    <font>
      <sz val="11"/>
      <color theme="1"/>
      <name val="Calibri Light"/>
      <family val="2"/>
    </font>
    <font>
      <b/>
      <u/>
      <sz val="11"/>
      <color theme="1"/>
      <name val="Calibri Light"/>
      <family val="2"/>
    </font>
    <font>
      <sz val="22"/>
      <color rgb="FFFFFFFF"/>
      <name val="Arial"/>
      <family val="2"/>
    </font>
    <font>
      <b/>
      <sz val="11"/>
      <color rgb="FF000000"/>
      <name val="Arial"/>
      <family val="2"/>
    </font>
    <font>
      <b/>
      <sz val="9"/>
      <color rgb="FFFFFFFF"/>
      <name val="Arial"/>
      <family val="2"/>
    </font>
    <font>
      <sz val="11"/>
      <name val="Calibri"/>
      <family val="2"/>
    </font>
    <font>
      <b/>
      <sz val="10"/>
      <color rgb="FFFFFFFF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203764"/>
      </patternFill>
    </fill>
    <fill>
      <patternFill patternType="solid">
        <fgColor rgb="FFFFF2CC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7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8" applyNumberFormat="0" applyAlignment="0" applyProtection="0"/>
    <xf numFmtId="0" fontId="14" fillId="9" borderId="9" applyNumberFormat="0" applyAlignment="0" applyProtection="0"/>
    <xf numFmtId="0" fontId="15" fillId="9" borderId="8" applyNumberFormat="0" applyAlignment="0" applyProtection="0"/>
    <xf numFmtId="0" fontId="16" fillId="0" borderId="10" applyNumberFormat="0" applyFill="0" applyAlignment="0" applyProtection="0"/>
    <xf numFmtId="0" fontId="17" fillId="10" borderId="11" applyNumberFormat="0" applyAlignment="0" applyProtection="0"/>
    <xf numFmtId="0" fontId="18" fillId="0" borderId="0" applyNumberFormat="0" applyFill="0" applyBorder="0" applyAlignment="0" applyProtection="0"/>
    <xf numFmtId="0" fontId="1" fillId="11" borderId="12" applyNumberFormat="0" applyFont="0" applyAlignment="0" applyProtection="0"/>
    <xf numFmtId="0" fontId="19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2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0" fillId="35" borderId="0" applyNumberFormat="0" applyBorder="0" applyAlignment="0" applyProtection="0"/>
    <xf numFmtId="0" fontId="21" fillId="0" borderId="0" applyNumberFormat="0" applyFill="0" applyBorder="0" applyProtection="0">
      <alignment vertical="top" wrapText="1"/>
    </xf>
    <xf numFmtId="164" fontId="1" fillId="0" borderId="0" applyFont="0" applyFill="0" applyBorder="0" applyAlignment="0" applyProtection="0"/>
    <xf numFmtId="0" fontId="27" fillId="0" borderId="0" applyNumberFormat="0" applyFill="0" applyBorder="0" applyProtection="0">
      <alignment vertical="top" wrapText="1"/>
    </xf>
  </cellStyleXfs>
  <cellXfs count="100">
    <xf numFmtId="0" fontId="0" fillId="0" borderId="0" xfId="0"/>
    <xf numFmtId="0" fontId="2" fillId="0" borderId="0" xfId="0" applyFont="1"/>
    <xf numFmtId="0" fontId="0" fillId="0" borderId="0" xfId="0" applyBorder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43" fontId="0" fillId="0" borderId="0" xfId="1" applyFont="1" applyBorder="1"/>
    <xf numFmtId="43" fontId="0" fillId="0" borderId="4" xfId="1" applyFont="1" applyBorder="1"/>
    <xf numFmtId="43" fontId="0" fillId="0" borderId="0" xfId="1" applyFont="1"/>
    <xf numFmtId="43" fontId="0" fillId="0" borderId="3" xfId="1" applyFont="1" applyBorder="1"/>
    <xf numFmtId="43" fontId="0" fillId="0" borderId="2" xfId="1" applyFont="1" applyBorder="1"/>
    <xf numFmtId="0" fontId="0" fillId="3" borderId="0" xfId="0" applyFill="1"/>
    <xf numFmtId="164" fontId="0" fillId="0" borderId="0" xfId="0" applyNumberFormat="1"/>
    <xf numFmtId="43" fontId="0" fillId="0" borderId="0" xfId="1" applyFont="1" applyFill="1"/>
    <xf numFmtId="0" fontId="2" fillId="0" borderId="0" xfId="0" applyFont="1" applyFill="1" applyBorder="1" applyAlignment="1">
      <alignment horizontal="left"/>
    </xf>
    <xf numFmtId="0" fontId="0" fillId="0" borderId="0" xfId="0" applyFill="1"/>
    <xf numFmtId="0" fontId="0" fillId="4" borderId="0" xfId="0" applyFill="1"/>
    <xf numFmtId="43" fontId="2" fillId="0" borderId="1" xfId="1" applyFont="1" applyBorder="1"/>
    <xf numFmtId="43" fontId="0" fillId="0" borderId="0" xfId="1" applyFont="1" applyFill="1" applyBorder="1"/>
    <xf numFmtId="0" fontId="2" fillId="0" borderId="1" xfId="0" applyFont="1" applyBorder="1"/>
    <xf numFmtId="43" fontId="2" fillId="0" borderId="1" xfId="1" applyFont="1" applyFill="1" applyBorder="1"/>
    <xf numFmtId="0" fontId="2" fillId="0" borderId="1" xfId="0" applyFont="1" applyBorder="1" applyAlignment="1">
      <alignment horizontal="center"/>
    </xf>
    <xf numFmtId="43" fontId="2" fillId="0" borderId="0" xfId="1" applyFont="1" applyBorder="1"/>
    <xf numFmtId="43" fontId="0" fillId="4" borderId="0" xfId="1" applyFont="1" applyFill="1" applyBorder="1"/>
    <xf numFmtId="0" fontId="0" fillId="0" borderId="0" xfId="0" applyAlignment="1">
      <alignment wrapText="1"/>
    </xf>
    <xf numFmtId="43" fontId="2" fillId="4" borderId="1" xfId="1" applyFont="1" applyFill="1" applyBorder="1"/>
    <xf numFmtId="0" fontId="2" fillId="0" borderId="0" xfId="0" applyFont="1" applyFill="1" applyBorder="1" applyAlignment="1"/>
    <xf numFmtId="0" fontId="0" fillId="0" borderId="0" xfId="0" applyFill="1" applyBorder="1" applyAlignment="1"/>
    <xf numFmtId="0" fontId="0" fillId="0" borderId="0" xfId="0" applyFill="1" applyBorder="1"/>
    <xf numFmtId="43" fontId="1" fillId="0" borderId="0" xfId="1" applyFont="1" applyFill="1" applyBorder="1" applyAlignment="1">
      <alignment vertical="center"/>
    </xf>
    <xf numFmtId="43" fontId="0" fillId="0" borderId="1" xfId="0" applyNumberFormat="1" applyBorder="1"/>
    <xf numFmtId="164" fontId="2" fillId="4" borderId="1" xfId="0" applyNumberFormat="1" applyFont="1" applyFill="1" applyBorder="1"/>
    <xf numFmtId="0" fontId="3" fillId="0" borderId="0" xfId="0" applyFont="1"/>
    <xf numFmtId="0" fontId="3" fillId="4" borderId="0" xfId="0" applyFont="1" applyFill="1"/>
    <xf numFmtId="0" fontId="4" fillId="0" borderId="0" xfId="0" applyFont="1"/>
    <xf numFmtId="43" fontId="0" fillId="0" borderId="0" xfId="0" applyNumberFormat="1"/>
    <xf numFmtId="0" fontId="5" fillId="0" borderId="0" xfId="0" applyFont="1"/>
    <xf numFmtId="165" fontId="0" fillId="0" borderId="0" xfId="0" applyNumberFormat="1"/>
    <xf numFmtId="0" fontId="3" fillId="4" borderId="0" xfId="0" applyFont="1" applyFill="1" applyAlignment="1">
      <alignment horizontal="left"/>
    </xf>
    <xf numFmtId="0" fontId="0" fillId="0" borderId="0" xfId="0"/>
    <xf numFmtId="43" fontId="2" fillId="4" borderId="1" xfId="1" applyFont="1" applyFill="1" applyBorder="1" applyAlignment="1"/>
    <xf numFmtId="0" fontId="0" fillId="0" borderId="0" xfId="0"/>
    <xf numFmtId="43" fontId="0" fillId="4" borderId="0" xfId="1" applyFont="1" applyFill="1"/>
    <xf numFmtId="43" fontId="2" fillId="0" borderId="1" xfId="1" applyFont="1" applyBorder="1" applyAlignment="1">
      <alignment horizontal="center"/>
    </xf>
    <xf numFmtId="43" fontId="2" fillId="0" borderId="0" xfId="1" applyFont="1" applyBorder="1" applyAlignment="1">
      <alignment horizontal="center"/>
    </xf>
    <xf numFmtId="0" fontId="0" fillId="0" borderId="0" xfId="0"/>
    <xf numFmtId="164" fontId="0" fillId="0" borderId="0" xfId="0" applyNumberFormat="1"/>
    <xf numFmtId="43" fontId="2" fillId="0" borderId="3" xfId="1" applyFont="1" applyBorder="1"/>
    <xf numFmtId="43" fontId="2" fillId="0" borderId="0" xfId="1" applyFont="1" applyFill="1" applyBorder="1" applyAlignment="1"/>
    <xf numFmtId="0" fontId="23" fillId="0" borderId="0" xfId="0" applyFont="1"/>
    <xf numFmtId="43" fontId="22" fillId="0" borderId="0" xfId="1" applyFont="1"/>
    <xf numFmtId="0" fontId="22" fillId="0" borderId="0" xfId="0" applyFont="1"/>
    <xf numFmtId="0" fontId="24" fillId="4" borderId="1" xfId="0" applyFont="1" applyFill="1" applyBorder="1"/>
    <xf numFmtId="43" fontId="24" fillId="4" borderId="1" xfId="1" applyFont="1" applyFill="1" applyBorder="1"/>
    <xf numFmtId="43" fontId="25" fillId="0" borderId="0" xfId="1" applyFont="1"/>
    <xf numFmtId="0" fontId="0" fillId="0" borderId="0" xfId="0" applyFont="1" applyAlignment="1">
      <alignment vertical="top" wrapText="1"/>
    </xf>
    <xf numFmtId="43" fontId="26" fillId="0" borderId="0" xfId="1" applyFont="1"/>
    <xf numFmtId="43" fontId="0" fillId="0" borderId="0" xfId="1" applyFont="1" applyBorder="1" applyAlignment="1">
      <alignment horizontal="center" vertical="center" wrapText="1"/>
    </xf>
    <xf numFmtId="43" fontId="28" fillId="0" borderId="0" xfId="1" applyFont="1" applyBorder="1"/>
    <xf numFmtId="43" fontId="2" fillId="4" borderId="3" xfId="1" applyFont="1" applyFill="1" applyBorder="1"/>
    <xf numFmtId="164" fontId="2" fillId="0" borderId="0" xfId="0" applyNumberFormat="1" applyFont="1" applyFill="1" applyBorder="1" applyAlignment="1"/>
    <xf numFmtId="0" fontId="3" fillId="0" borderId="0" xfId="0" applyFont="1" applyFill="1" applyBorder="1" applyAlignment="1"/>
    <xf numFmtId="43" fontId="0" fillId="4" borderId="0" xfId="0" applyNumberFormat="1" applyFill="1"/>
    <xf numFmtId="0" fontId="0" fillId="0" borderId="0" xfId="0" applyFont="1"/>
    <xf numFmtId="0" fontId="29" fillId="36" borderId="14" xfId="0" applyNumberFormat="1" applyFont="1" applyFill="1" applyBorder="1" applyAlignment="1">
      <alignment horizontal="center" wrapText="1"/>
    </xf>
    <xf numFmtId="0" fontId="3" fillId="0" borderId="0" xfId="0" applyFont="1" applyFill="1" applyBorder="1"/>
    <xf numFmtId="0" fontId="30" fillId="4" borderId="1" xfId="0" applyFont="1" applyFill="1" applyBorder="1"/>
    <xf numFmtId="43" fontId="30" fillId="4" borderId="1" xfId="1" applyFont="1" applyFill="1" applyBorder="1"/>
    <xf numFmtId="43" fontId="31" fillId="0" borderId="0" xfId="1" applyFont="1"/>
    <xf numFmtId="0" fontId="31" fillId="0" borderId="0" xfId="0" applyFont="1"/>
    <xf numFmtId="0" fontId="32" fillId="0" borderId="0" xfId="0" applyFont="1"/>
    <xf numFmtId="2" fontId="0" fillId="0" borderId="0" xfId="0" applyNumberFormat="1"/>
    <xf numFmtId="43" fontId="2" fillId="0" borderId="1" xfId="0" applyNumberFormat="1" applyFont="1" applyBorder="1"/>
    <xf numFmtId="43" fontId="31" fillId="4" borderId="1" xfId="1" applyFont="1" applyFill="1" applyBorder="1"/>
    <xf numFmtId="43" fontId="3" fillId="0" borderId="0" xfId="1" applyFont="1"/>
    <xf numFmtId="0" fontId="0" fillId="0" borderId="0" xfId="0" applyNumberFormat="1" applyFont="1" applyAlignment="1">
      <alignment vertical="top" wrapText="1"/>
    </xf>
    <xf numFmtId="43" fontId="0" fillId="0" borderId="0" xfId="1" applyFont="1" applyAlignment="1">
      <alignment vertical="top" wrapText="1"/>
    </xf>
    <xf numFmtId="43" fontId="0" fillId="4" borderId="1" xfId="1" applyFont="1" applyFill="1" applyBorder="1"/>
    <xf numFmtId="22" fontId="0" fillId="0" borderId="0" xfId="0" applyNumberFormat="1"/>
    <xf numFmtId="14" fontId="0" fillId="0" borderId="0" xfId="0" applyNumberFormat="1"/>
    <xf numFmtId="0" fontId="0" fillId="4" borderId="1" xfId="0" applyFill="1" applyBorder="1"/>
    <xf numFmtId="0" fontId="2" fillId="0" borderId="0" xfId="0" applyNumberFormat="1" applyFont="1" applyAlignment="1">
      <alignment vertical="top" wrapText="1"/>
    </xf>
    <xf numFmtId="43" fontId="0" fillId="0" borderId="1" xfId="1" applyFont="1" applyBorder="1"/>
    <xf numFmtId="43" fontId="31" fillId="4" borderId="0" xfId="1" applyFont="1" applyFill="1"/>
    <xf numFmtId="43" fontId="2" fillId="0" borderId="0" xfId="0" applyNumberFormat="1" applyFont="1"/>
    <xf numFmtId="43" fontId="0" fillId="4" borderId="1" xfId="0" applyNumberFormat="1" applyFill="1" applyBorder="1"/>
    <xf numFmtId="0" fontId="2" fillId="0" borderId="0" xfId="0" applyFont="1" applyAlignment="1">
      <alignment horizontal="left"/>
    </xf>
    <xf numFmtId="3" fontId="0" fillId="0" borderId="0" xfId="0" applyNumberFormat="1"/>
    <xf numFmtId="0" fontId="33" fillId="37" borderId="14" xfId="0" applyFont="1" applyFill="1" applyBorder="1" applyAlignment="1">
      <alignment horizontal="center" vertical="center" wrapText="1"/>
    </xf>
    <xf numFmtId="0" fontId="34" fillId="38" borderId="14" xfId="0" applyFont="1" applyFill="1" applyBorder="1" applyAlignment="1">
      <alignment horizontal="center" vertical="top" wrapText="1"/>
    </xf>
    <xf numFmtId="0" fontId="35" fillId="37" borderId="14" xfId="0" applyFont="1" applyFill="1" applyBorder="1" applyAlignment="1">
      <alignment horizontal="center" vertical="center" wrapText="1"/>
    </xf>
    <xf numFmtId="0" fontId="35" fillId="37" borderId="14" xfId="0" applyFont="1" applyFill="1" applyBorder="1" applyAlignment="1">
      <alignment horizontal="center" vertical="center" wrapText="1"/>
    </xf>
    <xf numFmtId="0" fontId="36" fillId="0" borderId="0" xfId="0" applyFont="1" applyAlignment="1">
      <alignment horizontal="left"/>
    </xf>
    <xf numFmtId="2" fontId="36" fillId="0" borderId="0" xfId="0" applyNumberFormat="1" applyFont="1" applyAlignment="1">
      <alignment horizontal="right"/>
    </xf>
    <xf numFmtId="0" fontId="36" fillId="0" borderId="0" xfId="0" applyFont="1" applyAlignment="1">
      <alignment horizontal="center"/>
    </xf>
    <xf numFmtId="0" fontId="36" fillId="0" borderId="0" xfId="0" applyFont="1" applyAlignment="1">
      <alignment wrapText="1"/>
    </xf>
    <xf numFmtId="0" fontId="36" fillId="0" borderId="0" xfId="0" applyFont="1" applyAlignment="1">
      <alignment horizontal="right"/>
    </xf>
    <xf numFmtId="2" fontId="0" fillId="4" borderId="1" xfId="0" applyNumberFormat="1" applyFill="1" applyBorder="1"/>
    <xf numFmtId="0" fontId="37" fillId="37" borderId="14" xfId="0" applyFont="1" applyFill="1" applyBorder="1" applyAlignment="1">
      <alignment horizontal="center" vertical="center" wrapText="1"/>
    </xf>
  </cellXfs>
  <cellStyles count="47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2"/>
    <cellStyle name="Comma 2 2" xfId="45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4"/>
    <cellStyle name="Normal 3" xfId="46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0\d\Users\91994\Desktop\THE%20WISE%20NINJA_GSTR%201_B2C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2CS others"/>
      <sheetName val="B2CS e-com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INTER"/>
      <sheetName val="Enable Macros"/>
      <sheetName val="Hel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8">
          <cell r="A8" t="str">
            <v>Andaman &amp; Nicobar Islands</v>
          </cell>
        </row>
        <row r="9">
          <cell r="A9" t="str">
            <v>Andhra Pradesh</v>
          </cell>
        </row>
        <row r="10">
          <cell r="A10" t="str">
            <v>Arunachal Pradesh</v>
          </cell>
        </row>
        <row r="11">
          <cell r="A11" t="str">
            <v>Assam</v>
          </cell>
        </row>
        <row r="12">
          <cell r="A12" t="str">
            <v>Bihar</v>
          </cell>
        </row>
        <row r="13">
          <cell r="A13" t="str">
            <v>Chandigarh</v>
          </cell>
        </row>
        <row r="14">
          <cell r="A14" t="str">
            <v>Chhattisgarh</v>
          </cell>
        </row>
        <row r="15">
          <cell r="A15" t="str">
            <v>Dadra and Nagar Haveli &amp; Daman and Diu</v>
          </cell>
        </row>
        <row r="16">
          <cell r="A16" t="str">
            <v>Daman and Diu</v>
          </cell>
        </row>
        <row r="17">
          <cell r="A17" t="str">
            <v>Delhi</v>
          </cell>
        </row>
        <row r="18">
          <cell r="A18" t="str">
            <v>Goa</v>
          </cell>
        </row>
        <row r="19">
          <cell r="A19" t="str">
            <v>Gujarat</v>
          </cell>
        </row>
        <row r="20">
          <cell r="A20" t="str">
            <v>Haryana</v>
          </cell>
        </row>
        <row r="21">
          <cell r="A21" t="str">
            <v>Himachal Pradesh</v>
          </cell>
        </row>
        <row r="22">
          <cell r="A22" t="str">
            <v>Jammu and Kashmir</v>
          </cell>
        </row>
        <row r="23">
          <cell r="A23" t="str">
            <v>Jharkhand</v>
          </cell>
        </row>
        <row r="24">
          <cell r="A24" t="str">
            <v>Karnataka</v>
          </cell>
        </row>
        <row r="25">
          <cell r="A25" t="str">
            <v>Kerala</v>
          </cell>
        </row>
        <row r="26">
          <cell r="A26" t="str">
            <v>Ladakh</v>
          </cell>
        </row>
        <row r="27">
          <cell r="A27" t="str">
            <v>Lakshadweep</v>
          </cell>
        </row>
        <row r="28">
          <cell r="A28" t="str">
            <v>Madhya Pradesh</v>
          </cell>
        </row>
        <row r="29">
          <cell r="A29" t="str">
            <v>Maharashtra</v>
          </cell>
        </row>
        <row r="30">
          <cell r="A30" t="str">
            <v>Manipur</v>
          </cell>
        </row>
        <row r="31">
          <cell r="A31" t="str">
            <v>Meghalaya</v>
          </cell>
        </row>
        <row r="32">
          <cell r="A32" t="str">
            <v>Mizoram</v>
          </cell>
        </row>
        <row r="33">
          <cell r="A33" t="str">
            <v>Nagaland</v>
          </cell>
        </row>
        <row r="34">
          <cell r="A34" t="str">
            <v>Odisha</v>
          </cell>
        </row>
        <row r="35">
          <cell r="A35" t="str">
            <v>Other Territory</v>
          </cell>
        </row>
        <row r="36">
          <cell r="A36" t="str">
            <v>Puducherry</v>
          </cell>
        </row>
        <row r="37">
          <cell r="A37" t="str">
            <v>Punjab</v>
          </cell>
        </row>
        <row r="38">
          <cell r="A38" t="str">
            <v>Rajasthan</v>
          </cell>
        </row>
        <row r="39">
          <cell r="A39" t="str">
            <v>Sikkim</v>
          </cell>
        </row>
        <row r="40">
          <cell r="A40" t="str">
            <v>Tamil Nadu</v>
          </cell>
        </row>
        <row r="41">
          <cell r="A41" t="str">
            <v>Telangana</v>
          </cell>
        </row>
        <row r="42">
          <cell r="A42" t="str">
            <v>Tripura</v>
          </cell>
        </row>
        <row r="43">
          <cell r="A43" t="str">
            <v>Uttar Pradesh</v>
          </cell>
        </row>
        <row r="44">
          <cell r="A44" t="str">
            <v>Uttarakhand</v>
          </cell>
        </row>
        <row r="45">
          <cell r="A45" t="str">
            <v>West Bengal</v>
          </cell>
        </row>
      </sheetData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topLeftCell="D1" workbookViewId="0">
      <selection activeCell="F11" sqref="F11:L11"/>
    </sheetView>
  </sheetViews>
  <sheetFormatPr defaultRowHeight="15" x14ac:dyDescent="0.25"/>
  <cols>
    <col min="1" max="2" width="20" style="46" customWidth="1"/>
    <col min="3" max="3" width="16.85546875" style="46" customWidth="1"/>
    <col min="4" max="5" width="15.85546875" style="46" customWidth="1"/>
    <col min="6" max="17" width="20" style="46" customWidth="1"/>
    <col min="18" max="21" width="14" style="46" customWidth="1"/>
    <col min="22" max="16384" width="9.140625" style="46"/>
  </cols>
  <sheetData>
    <row r="1" spans="1:21" x14ac:dyDescent="0.25">
      <c r="A1" s="89" t="s">
        <v>116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</row>
    <row r="2" spans="1:21" x14ac:dyDescent="0.25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</row>
    <row r="3" spans="1:21" x14ac:dyDescent="0.25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</row>
    <row r="4" spans="1:21" x14ac:dyDescent="0.25">
      <c r="A4" s="90" t="s">
        <v>117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</row>
    <row r="5" spans="1:21" x14ac:dyDescent="0.25">
      <c r="A5" s="91" t="s">
        <v>118</v>
      </c>
      <c r="B5" s="91" t="s">
        <v>119</v>
      </c>
      <c r="C5" s="91" t="s">
        <v>120</v>
      </c>
      <c r="D5" s="91"/>
      <c r="E5" s="91"/>
      <c r="F5" s="91"/>
      <c r="G5" s="91" t="s">
        <v>121</v>
      </c>
      <c r="H5" s="91" t="s">
        <v>122</v>
      </c>
      <c r="I5" s="91" t="s">
        <v>123</v>
      </c>
      <c r="J5" s="91" t="s">
        <v>124</v>
      </c>
      <c r="K5" s="91"/>
      <c r="L5" s="91"/>
      <c r="M5" s="91"/>
      <c r="N5" s="91" t="s">
        <v>125</v>
      </c>
      <c r="O5" s="91" t="s">
        <v>126</v>
      </c>
      <c r="P5" s="91" t="s">
        <v>127</v>
      </c>
      <c r="Q5" s="91" t="s">
        <v>128</v>
      </c>
      <c r="R5" s="91" t="s">
        <v>129</v>
      </c>
      <c r="S5" s="91" t="s">
        <v>130</v>
      </c>
      <c r="T5" s="91" t="s">
        <v>131</v>
      </c>
      <c r="U5" s="91" t="s">
        <v>132</v>
      </c>
    </row>
    <row r="6" spans="1:21" x14ac:dyDescent="0.25">
      <c r="A6" s="91"/>
      <c r="B6" s="91"/>
      <c r="C6" s="92" t="s">
        <v>133</v>
      </c>
      <c r="D6" s="92" t="s">
        <v>134</v>
      </c>
      <c r="E6" s="92" t="s">
        <v>43</v>
      </c>
      <c r="F6" s="92" t="s">
        <v>135</v>
      </c>
      <c r="G6" s="91"/>
      <c r="H6" s="91"/>
      <c r="I6" s="91"/>
      <c r="J6" s="92" t="s">
        <v>136</v>
      </c>
      <c r="K6" s="92" t="s">
        <v>137</v>
      </c>
      <c r="L6" s="92" t="s">
        <v>138</v>
      </c>
      <c r="M6" s="92" t="s">
        <v>139</v>
      </c>
      <c r="N6" s="91"/>
      <c r="O6" s="91"/>
      <c r="P6" s="91"/>
      <c r="Q6" s="91"/>
      <c r="R6" s="91"/>
      <c r="S6" s="91"/>
      <c r="T6" s="91"/>
      <c r="U6" s="91"/>
    </row>
    <row r="7" spans="1:21" x14ac:dyDescent="0.25">
      <c r="A7" s="93" t="s">
        <v>140</v>
      </c>
      <c r="B7" s="93" t="s">
        <v>141</v>
      </c>
      <c r="C7" s="93" t="s">
        <v>142</v>
      </c>
      <c r="D7" s="93" t="s">
        <v>143</v>
      </c>
      <c r="E7" s="93" t="s">
        <v>144</v>
      </c>
      <c r="F7" s="94">
        <v>1864.4</v>
      </c>
      <c r="G7" s="93" t="s">
        <v>145</v>
      </c>
      <c r="H7" s="95" t="s">
        <v>146</v>
      </c>
      <c r="I7" s="94">
        <v>1580</v>
      </c>
      <c r="J7" s="94">
        <v>284.39999999999998</v>
      </c>
      <c r="K7" s="94">
        <v>0</v>
      </c>
      <c r="L7" s="94">
        <v>0</v>
      </c>
      <c r="M7" s="94">
        <v>0</v>
      </c>
      <c r="N7" s="96" t="s">
        <v>147</v>
      </c>
      <c r="O7" s="93" t="s">
        <v>148</v>
      </c>
      <c r="P7" s="95" t="s">
        <v>149</v>
      </c>
      <c r="Q7" s="93" t="s">
        <v>150</v>
      </c>
      <c r="R7" s="97" t="s">
        <v>151</v>
      </c>
      <c r="S7" s="96" t="s">
        <v>150</v>
      </c>
      <c r="T7" s="96" t="s">
        <v>150</v>
      </c>
      <c r="U7" s="96" t="s">
        <v>150</v>
      </c>
    </row>
    <row r="8" spans="1:21" x14ac:dyDescent="0.25">
      <c r="A8" s="93" t="s">
        <v>140</v>
      </c>
      <c r="B8" s="93" t="s">
        <v>141</v>
      </c>
      <c r="C8" s="93" t="s">
        <v>152</v>
      </c>
      <c r="D8" s="93" t="s">
        <v>143</v>
      </c>
      <c r="E8" s="93" t="s">
        <v>144</v>
      </c>
      <c r="F8" s="94">
        <v>2328.14</v>
      </c>
      <c r="G8" s="93" t="s">
        <v>145</v>
      </c>
      <c r="H8" s="95" t="s">
        <v>146</v>
      </c>
      <c r="I8" s="94">
        <v>1973</v>
      </c>
      <c r="J8" s="94">
        <v>355.14</v>
      </c>
      <c r="K8" s="94">
        <v>0</v>
      </c>
      <c r="L8" s="94">
        <v>0</v>
      </c>
      <c r="M8" s="94">
        <v>0</v>
      </c>
      <c r="N8" s="96" t="s">
        <v>147</v>
      </c>
      <c r="O8" s="93" t="s">
        <v>148</v>
      </c>
      <c r="P8" s="95" t="s">
        <v>149</v>
      </c>
      <c r="Q8" s="93" t="s">
        <v>150</v>
      </c>
      <c r="R8" s="97" t="s">
        <v>151</v>
      </c>
      <c r="S8" s="96" t="s">
        <v>150</v>
      </c>
      <c r="T8" s="96" t="s">
        <v>150</v>
      </c>
      <c r="U8" s="96" t="s">
        <v>150</v>
      </c>
    </row>
    <row r="9" spans="1:21" x14ac:dyDescent="0.25">
      <c r="A9" s="93" t="s">
        <v>153</v>
      </c>
      <c r="B9" s="93" t="s">
        <v>154</v>
      </c>
      <c r="C9" s="93" t="s">
        <v>155</v>
      </c>
      <c r="D9" s="93" t="s">
        <v>143</v>
      </c>
      <c r="E9" s="93" t="s">
        <v>156</v>
      </c>
      <c r="F9" s="94">
        <v>2186.8200000000002</v>
      </c>
      <c r="G9" s="93" t="s">
        <v>145</v>
      </c>
      <c r="H9" s="95" t="s">
        <v>146</v>
      </c>
      <c r="I9" s="94">
        <v>2082.6799999999998</v>
      </c>
      <c r="J9" s="94">
        <v>0</v>
      </c>
      <c r="K9" s="94">
        <v>52.07</v>
      </c>
      <c r="L9" s="94">
        <v>52.07</v>
      </c>
      <c r="M9" s="94">
        <v>0</v>
      </c>
      <c r="N9" s="96" t="s">
        <v>147</v>
      </c>
      <c r="O9" s="93" t="s">
        <v>148</v>
      </c>
      <c r="P9" s="95" t="s">
        <v>149</v>
      </c>
      <c r="Q9" s="93" t="s">
        <v>150</v>
      </c>
      <c r="R9" s="97" t="s">
        <v>151</v>
      </c>
      <c r="S9" s="96" t="s">
        <v>150</v>
      </c>
      <c r="T9" s="96" t="s">
        <v>150</v>
      </c>
      <c r="U9" s="96" t="s">
        <v>150</v>
      </c>
    </row>
    <row r="10" spans="1:21" x14ac:dyDescent="0.25">
      <c r="A10" s="93" t="s">
        <v>157</v>
      </c>
      <c r="B10" s="93" t="s">
        <v>158</v>
      </c>
      <c r="C10" s="93" t="s">
        <v>159</v>
      </c>
      <c r="D10" s="93" t="s">
        <v>143</v>
      </c>
      <c r="E10" s="93" t="s">
        <v>144</v>
      </c>
      <c r="F10" s="94">
        <v>1231.48</v>
      </c>
      <c r="G10" s="93" t="s">
        <v>145</v>
      </c>
      <c r="H10" s="95" t="s">
        <v>146</v>
      </c>
      <c r="I10" s="94">
        <v>1043.6300000000001</v>
      </c>
      <c r="J10" s="94">
        <v>187.85</v>
      </c>
      <c r="K10" s="94">
        <v>0</v>
      </c>
      <c r="L10" s="94">
        <v>0</v>
      </c>
      <c r="M10" s="94">
        <v>0</v>
      </c>
      <c r="N10" s="96" t="s">
        <v>147</v>
      </c>
      <c r="O10" s="93" t="s">
        <v>160</v>
      </c>
      <c r="P10" s="95" t="s">
        <v>149</v>
      </c>
      <c r="Q10" s="93" t="s">
        <v>150</v>
      </c>
      <c r="R10" s="97" t="s">
        <v>151</v>
      </c>
      <c r="S10" s="96" t="s">
        <v>150</v>
      </c>
      <c r="T10" s="96" t="s">
        <v>150</v>
      </c>
      <c r="U10" s="96" t="s">
        <v>150</v>
      </c>
    </row>
    <row r="11" spans="1:21" ht="15.75" thickBot="1" x14ac:dyDescent="0.3">
      <c r="F11" s="98">
        <f t="shared" ref="F11:L11" si="0">SUM(F7:F10)</f>
        <v>7610.84</v>
      </c>
      <c r="G11" s="98">
        <f t="shared" si="0"/>
        <v>0</v>
      </c>
      <c r="H11" s="98">
        <f t="shared" si="0"/>
        <v>0</v>
      </c>
      <c r="I11" s="98">
        <f t="shared" si="0"/>
        <v>6679.31</v>
      </c>
      <c r="J11" s="98">
        <f t="shared" si="0"/>
        <v>827.39</v>
      </c>
      <c r="K11" s="98">
        <f t="shared" si="0"/>
        <v>52.07</v>
      </c>
      <c r="L11" s="98">
        <f t="shared" si="0"/>
        <v>52.07</v>
      </c>
    </row>
    <row r="12" spans="1:21" ht="15.75" thickTop="1" x14ac:dyDescent="0.25"/>
  </sheetData>
  <mergeCells count="17">
    <mergeCell ref="U5:U6"/>
    <mergeCell ref="O5:O6"/>
    <mergeCell ref="P5:P6"/>
    <mergeCell ref="Q5:Q6"/>
    <mergeCell ref="R5:R6"/>
    <mergeCell ref="S5:S6"/>
    <mergeCell ref="T5:T6"/>
    <mergeCell ref="A1:U3"/>
    <mergeCell ref="A4:U4"/>
    <mergeCell ref="A5:A6"/>
    <mergeCell ref="B5:B6"/>
    <mergeCell ref="C5:F5"/>
    <mergeCell ref="G5:G6"/>
    <mergeCell ref="H5:H6"/>
    <mergeCell ref="I5:I6"/>
    <mergeCell ref="J5:M5"/>
    <mergeCell ref="N5:N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"/>
  <sheetViews>
    <sheetView topLeftCell="D1" workbookViewId="0">
      <selection activeCell="G10" sqref="G10:M10"/>
    </sheetView>
  </sheetViews>
  <sheetFormatPr defaultRowHeight="15" x14ac:dyDescent="0.25"/>
  <cols>
    <col min="1" max="2" width="20" style="46" customWidth="1"/>
    <col min="3" max="6" width="15.85546875" style="46" customWidth="1"/>
    <col min="7" max="19" width="20" style="46" customWidth="1"/>
    <col min="20" max="20" width="35" style="46" customWidth="1"/>
    <col min="21" max="23" width="20" style="46" customWidth="1"/>
    <col min="24" max="24" width="35" style="46" customWidth="1"/>
    <col min="25" max="28" width="20" style="46" customWidth="1"/>
    <col min="29" max="16384" width="9.140625" style="46"/>
  </cols>
  <sheetData>
    <row r="1" spans="1:28" x14ac:dyDescent="0.25">
      <c r="A1" s="89" t="s">
        <v>116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</row>
    <row r="2" spans="1:28" x14ac:dyDescent="0.25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</row>
    <row r="3" spans="1:28" x14ac:dyDescent="0.25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</row>
    <row r="4" spans="1:28" x14ac:dyDescent="0.25">
      <c r="A4" s="90" t="s">
        <v>161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</row>
    <row r="5" spans="1:28" x14ac:dyDescent="0.25">
      <c r="A5" s="91" t="s">
        <v>118</v>
      </c>
      <c r="B5" s="91" t="s">
        <v>119</v>
      </c>
      <c r="C5" s="91" t="s">
        <v>162</v>
      </c>
      <c r="D5" s="91"/>
      <c r="E5" s="91"/>
      <c r="F5" s="91"/>
      <c r="G5" s="91"/>
      <c r="H5" s="91" t="s">
        <v>121</v>
      </c>
      <c r="I5" s="91" t="s">
        <v>122</v>
      </c>
      <c r="J5" s="91" t="s">
        <v>123</v>
      </c>
      <c r="K5" s="91" t="s">
        <v>124</v>
      </c>
      <c r="L5" s="91"/>
      <c r="M5" s="91"/>
      <c r="N5" s="91"/>
      <c r="O5" s="91" t="s">
        <v>163</v>
      </c>
      <c r="P5" s="99" t="s">
        <v>164</v>
      </c>
      <c r="Q5" s="99"/>
      <c r="R5" s="99"/>
      <c r="S5" s="99"/>
      <c r="T5" s="91" t="s">
        <v>165</v>
      </c>
      <c r="U5" s="91" t="s">
        <v>166</v>
      </c>
      <c r="V5" s="91" t="s">
        <v>167</v>
      </c>
      <c r="W5" s="91" t="s">
        <v>127</v>
      </c>
      <c r="X5" s="91" t="s">
        <v>128</v>
      </c>
      <c r="Y5" s="91" t="s">
        <v>129</v>
      </c>
      <c r="Z5" s="91" t="s">
        <v>130</v>
      </c>
      <c r="AA5" s="91" t="s">
        <v>131</v>
      </c>
      <c r="AB5" s="91" t="s">
        <v>132</v>
      </c>
    </row>
    <row r="6" spans="1:28" x14ac:dyDescent="0.25">
      <c r="A6" s="91"/>
      <c r="B6" s="91"/>
      <c r="C6" s="92" t="s">
        <v>168</v>
      </c>
      <c r="D6" s="92" t="s">
        <v>169</v>
      </c>
      <c r="E6" s="92" t="s">
        <v>170</v>
      </c>
      <c r="F6" s="92" t="s">
        <v>171</v>
      </c>
      <c r="G6" s="92" t="s">
        <v>172</v>
      </c>
      <c r="H6" s="91"/>
      <c r="I6" s="91"/>
      <c r="J6" s="91"/>
      <c r="K6" s="92" t="s">
        <v>136</v>
      </c>
      <c r="L6" s="92" t="s">
        <v>137</v>
      </c>
      <c r="M6" s="92" t="s">
        <v>138</v>
      </c>
      <c r="N6" s="92" t="s">
        <v>139</v>
      </c>
      <c r="O6" s="91"/>
      <c r="P6" s="92" t="s">
        <v>136</v>
      </c>
      <c r="Q6" s="92" t="s">
        <v>137</v>
      </c>
      <c r="R6" s="92" t="s">
        <v>138</v>
      </c>
      <c r="S6" s="92" t="s">
        <v>139</v>
      </c>
      <c r="T6" s="91"/>
      <c r="U6" s="91"/>
      <c r="V6" s="91"/>
      <c r="W6" s="91"/>
      <c r="X6" s="91"/>
      <c r="Y6" s="91"/>
      <c r="Z6" s="91"/>
      <c r="AA6" s="91"/>
      <c r="AB6" s="91"/>
    </row>
    <row r="7" spans="1:28" x14ac:dyDescent="0.25">
      <c r="A7" s="93" t="s">
        <v>140</v>
      </c>
      <c r="B7" s="93" t="s">
        <v>141</v>
      </c>
      <c r="C7" s="93" t="s">
        <v>173</v>
      </c>
      <c r="D7" s="93" t="s">
        <v>174</v>
      </c>
      <c r="E7" s="93" t="s">
        <v>143</v>
      </c>
      <c r="F7" s="93" t="s">
        <v>144</v>
      </c>
      <c r="G7" s="94">
        <v>106.2</v>
      </c>
      <c r="H7" s="93" t="s">
        <v>145</v>
      </c>
      <c r="I7" s="95" t="s">
        <v>146</v>
      </c>
      <c r="J7" s="94">
        <v>90</v>
      </c>
      <c r="K7" s="94">
        <v>16.2</v>
      </c>
      <c r="L7" s="94">
        <v>0</v>
      </c>
      <c r="M7" s="94">
        <v>0</v>
      </c>
      <c r="N7" s="94">
        <v>0</v>
      </c>
      <c r="O7" s="93" t="s">
        <v>175</v>
      </c>
      <c r="P7" s="94" t="s">
        <v>175</v>
      </c>
      <c r="Q7" s="94" t="s">
        <v>175</v>
      </c>
      <c r="R7" s="94" t="s">
        <v>175</v>
      </c>
      <c r="S7" s="94" t="s">
        <v>175</v>
      </c>
      <c r="T7" s="93" t="s">
        <v>176</v>
      </c>
      <c r="U7" s="93" t="s">
        <v>147</v>
      </c>
      <c r="V7" s="93" t="s">
        <v>148</v>
      </c>
      <c r="W7" s="95" t="s">
        <v>149</v>
      </c>
      <c r="X7" s="93" t="s">
        <v>150</v>
      </c>
      <c r="Y7" s="93" t="s">
        <v>151</v>
      </c>
      <c r="Z7" s="94" t="s">
        <v>150</v>
      </c>
      <c r="AA7" s="93" t="s">
        <v>150</v>
      </c>
      <c r="AB7" s="93" t="s">
        <v>150</v>
      </c>
    </row>
    <row r="8" spans="1:28" x14ac:dyDescent="0.25">
      <c r="A8" s="93" t="s">
        <v>140</v>
      </c>
      <c r="B8" s="93" t="s">
        <v>141</v>
      </c>
      <c r="C8" s="93" t="s">
        <v>177</v>
      </c>
      <c r="D8" s="93" t="s">
        <v>174</v>
      </c>
      <c r="E8" s="93" t="s">
        <v>143</v>
      </c>
      <c r="F8" s="93" t="s">
        <v>144</v>
      </c>
      <c r="G8" s="94">
        <v>177</v>
      </c>
      <c r="H8" s="93" t="s">
        <v>145</v>
      </c>
      <c r="I8" s="95" t="s">
        <v>146</v>
      </c>
      <c r="J8" s="94">
        <v>150</v>
      </c>
      <c r="K8" s="94">
        <v>27</v>
      </c>
      <c r="L8" s="94">
        <v>0</v>
      </c>
      <c r="M8" s="94">
        <v>0</v>
      </c>
      <c r="N8" s="94">
        <v>0</v>
      </c>
      <c r="O8" s="93" t="s">
        <v>175</v>
      </c>
      <c r="P8" s="94" t="s">
        <v>175</v>
      </c>
      <c r="Q8" s="94" t="s">
        <v>175</v>
      </c>
      <c r="R8" s="94" t="s">
        <v>175</v>
      </c>
      <c r="S8" s="94" t="s">
        <v>175</v>
      </c>
      <c r="T8" s="93" t="s">
        <v>176</v>
      </c>
      <c r="U8" s="93" t="s">
        <v>147</v>
      </c>
      <c r="V8" s="93" t="s">
        <v>148</v>
      </c>
      <c r="W8" s="95" t="s">
        <v>149</v>
      </c>
      <c r="X8" s="93" t="s">
        <v>150</v>
      </c>
      <c r="Y8" s="93" t="s">
        <v>151</v>
      </c>
      <c r="Z8" s="94" t="s">
        <v>150</v>
      </c>
      <c r="AA8" s="93" t="s">
        <v>150</v>
      </c>
      <c r="AB8" s="93" t="s">
        <v>150</v>
      </c>
    </row>
    <row r="9" spans="1:28" x14ac:dyDescent="0.25">
      <c r="A9" s="93" t="s">
        <v>157</v>
      </c>
      <c r="B9" s="93" t="s">
        <v>158</v>
      </c>
      <c r="C9" s="93" t="s">
        <v>178</v>
      </c>
      <c r="D9" s="93" t="s">
        <v>174</v>
      </c>
      <c r="E9" s="93" t="s">
        <v>143</v>
      </c>
      <c r="F9" s="93" t="s">
        <v>144</v>
      </c>
      <c r="G9" s="94">
        <v>14.16</v>
      </c>
      <c r="H9" s="93" t="s">
        <v>145</v>
      </c>
      <c r="I9" s="95" t="s">
        <v>146</v>
      </c>
      <c r="J9" s="94">
        <v>12</v>
      </c>
      <c r="K9" s="94">
        <v>2.16</v>
      </c>
      <c r="L9" s="94">
        <v>0</v>
      </c>
      <c r="M9" s="94">
        <v>0</v>
      </c>
      <c r="N9" s="94">
        <v>0</v>
      </c>
      <c r="O9" s="93" t="s">
        <v>175</v>
      </c>
      <c r="P9" s="94" t="s">
        <v>175</v>
      </c>
      <c r="Q9" s="94" t="s">
        <v>175</v>
      </c>
      <c r="R9" s="94" t="s">
        <v>175</v>
      </c>
      <c r="S9" s="94" t="s">
        <v>175</v>
      </c>
      <c r="T9" s="93" t="s">
        <v>176</v>
      </c>
      <c r="U9" s="93" t="s">
        <v>147</v>
      </c>
      <c r="V9" s="93" t="s">
        <v>160</v>
      </c>
      <c r="W9" s="95" t="s">
        <v>149</v>
      </c>
      <c r="X9" s="93" t="s">
        <v>150</v>
      </c>
      <c r="Y9" s="93" t="s">
        <v>151</v>
      </c>
      <c r="Z9" s="94" t="s">
        <v>150</v>
      </c>
      <c r="AA9" s="93" t="s">
        <v>150</v>
      </c>
      <c r="AB9" s="93" t="s">
        <v>150</v>
      </c>
    </row>
    <row r="10" spans="1:28" ht="15.75" thickBot="1" x14ac:dyDescent="0.3">
      <c r="G10" s="98">
        <f t="shared" ref="G10:M10" si="0">SUM(G7:G9)</f>
        <v>297.36</v>
      </c>
      <c r="H10" s="98">
        <f t="shared" si="0"/>
        <v>0</v>
      </c>
      <c r="I10" s="98">
        <f t="shared" si="0"/>
        <v>0</v>
      </c>
      <c r="J10" s="98">
        <f t="shared" si="0"/>
        <v>252</v>
      </c>
      <c r="K10" s="98">
        <f t="shared" si="0"/>
        <v>45.36</v>
      </c>
      <c r="L10" s="98">
        <f t="shared" si="0"/>
        <v>0</v>
      </c>
      <c r="M10" s="98">
        <f t="shared" si="0"/>
        <v>0</v>
      </c>
    </row>
    <row r="11" spans="1:28" ht="15.75" thickTop="1" x14ac:dyDescent="0.25"/>
  </sheetData>
  <mergeCells count="20">
    <mergeCell ref="Y5:Y6"/>
    <mergeCell ref="Z5:Z6"/>
    <mergeCell ref="AA5:AA6"/>
    <mergeCell ref="AB5:AB6"/>
    <mergeCell ref="P5:S5"/>
    <mergeCell ref="T5:T6"/>
    <mergeCell ref="U5:U6"/>
    <mergeCell ref="V5:V6"/>
    <mergeCell ref="W5:W6"/>
    <mergeCell ref="X5:X6"/>
    <mergeCell ref="A1:AB3"/>
    <mergeCell ref="A4:AB4"/>
    <mergeCell ref="A5:A6"/>
    <mergeCell ref="B5:B6"/>
    <mergeCell ref="C5:G5"/>
    <mergeCell ref="H5:H6"/>
    <mergeCell ref="I5:I6"/>
    <mergeCell ref="J5:J6"/>
    <mergeCell ref="K5:N5"/>
    <mergeCell ref="O5:O6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71"/>
  <sheetViews>
    <sheetView topLeftCell="A19" zoomScale="85" zoomScaleNormal="85" workbookViewId="0">
      <selection activeCell="Q17" sqref="Q17"/>
    </sheetView>
  </sheetViews>
  <sheetFormatPr defaultRowHeight="15" x14ac:dyDescent="0.25"/>
  <cols>
    <col min="2" max="2" width="9.140625" style="3"/>
    <col min="3" max="3" width="17.5703125" customWidth="1"/>
    <col min="4" max="4" width="16" style="9" customWidth="1"/>
    <col min="5" max="5" width="12.140625" style="9" bestFit="1" customWidth="1"/>
    <col min="6" max="7" width="10.5703125" style="9" bestFit="1" customWidth="1"/>
    <col min="9" max="9" width="9.7109375" bestFit="1" customWidth="1"/>
    <col min="10" max="10" width="16.42578125" style="3" customWidth="1"/>
    <col min="11" max="11" width="14.7109375" customWidth="1"/>
    <col min="12" max="12" width="12.140625" bestFit="1" customWidth="1"/>
    <col min="13" max="14" width="10.5703125" bestFit="1" customWidth="1"/>
  </cols>
  <sheetData>
    <row r="3" spans="2:14" x14ac:dyDescent="0.25">
      <c r="C3" s="34" t="s">
        <v>27</v>
      </c>
      <c r="D3" s="43"/>
      <c r="E3" s="43"/>
      <c r="J3" s="39" t="s">
        <v>5</v>
      </c>
      <c r="K3" s="17"/>
    </row>
    <row r="5" spans="2:14" ht="15.75" thickBot="1" x14ac:dyDescent="0.3">
      <c r="C5" s="20" t="s">
        <v>7</v>
      </c>
      <c r="D5" s="18" t="s">
        <v>19</v>
      </c>
      <c r="E5" s="44" t="s">
        <v>2</v>
      </c>
      <c r="F5" s="44" t="s">
        <v>3</v>
      </c>
      <c r="G5" s="44" t="s">
        <v>4</v>
      </c>
      <c r="J5" s="20" t="s">
        <v>20</v>
      </c>
      <c r="K5" s="20" t="s">
        <v>19</v>
      </c>
      <c r="L5" s="22" t="s">
        <v>2</v>
      </c>
      <c r="M5" s="22" t="s">
        <v>3</v>
      </c>
      <c r="N5" s="22" t="s">
        <v>4</v>
      </c>
    </row>
    <row r="6" spans="2:14" ht="15.75" thickTop="1" x14ac:dyDescent="0.25">
      <c r="B6" s="4"/>
      <c r="D6" s="14"/>
      <c r="E6" s="14"/>
      <c r="F6" s="14"/>
      <c r="G6" s="14"/>
      <c r="L6" s="1"/>
      <c r="M6" s="1"/>
      <c r="N6" s="1"/>
    </row>
    <row r="7" spans="2:14" x14ac:dyDescent="0.25">
      <c r="B7" s="4">
        <v>0</v>
      </c>
      <c r="C7" t="s">
        <v>17</v>
      </c>
      <c r="D7" s="14"/>
      <c r="F7" s="9">
        <v>0</v>
      </c>
      <c r="G7" s="9">
        <v>0</v>
      </c>
      <c r="I7" s="1" t="s">
        <v>0</v>
      </c>
      <c r="J7" s="3">
        <v>0</v>
      </c>
      <c r="K7" s="9">
        <f>+D8+D35</f>
        <v>0</v>
      </c>
      <c r="L7" s="9"/>
      <c r="M7" s="9"/>
      <c r="N7" s="9"/>
    </row>
    <row r="8" spans="2:14" x14ac:dyDescent="0.25">
      <c r="B8" s="4"/>
      <c r="C8" t="s">
        <v>18</v>
      </c>
      <c r="F8" s="9">
        <v>0</v>
      </c>
      <c r="G8" s="9">
        <v>0</v>
      </c>
      <c r="J8" s="3">
        <v>3</v>
      </c>
      <c r="K8" s="9">
        <f>+D11+D38</f>
        <v>0</v>
      </c>
      <c r="L8" s="9">
        <f>+E11+E38</f>
        <v>0</v>
      </c>
      <c r="M8" s="9">
        <f>+F11+F38</f>
        <v>0</v>
      </c>
      <c r="N8" s="9">
        <f>+G11+G38</f>
        <v>0</v>
      </c>
    </row>
    <row r="9" spans="2:14" x14ac:dyDescent="0.25">
      <c r="J9" s="3">
        <v>5</v>
      </c>
      <c r="K9" s="9">
        <f>+D14+D16+D18+D41</f>
        <v>21620.46</v>
      </c>
      <c r="L9" s="9">
        <f>+E14+E16+E18+E41</f>
        <v>0</v>
      </c>
      <c r="M9" s="9">
        <f>+F14+F16+F18+F41</f>
        <v>540.51150000000007</v>
      </c>
      <c r="N9" s="9">
        <f>+G14+G16+G18+G41</f>
        <v>540.51150000000007</v>
      </c>
    </row>
    <row r="10" spans="2:14" x14ac:dyDescent="0.25">
      <c r="B10" s="4">
        <v>0.03</v>
      </c>
      <c r="C10" t="s">
        <v>17</v>
      </c>
      <c r="D10" s="14"/>
      <c r="E10" s="9">
        <f>+D10*0.03</f>
        <v>0</v>
      </c>
      <c r="F10" s="9">
        <v>0</v>
      </c>
      <c r="G10" s="9">
        <v>0</v>
      </c>
      <c r="J10" s="3">
        <v>12</v>
      </c>
      <c r="K10" s="9">
        <f>+D21+D23+D25+D44</f>
        <v>0</v>
      </c>
      <c r="L10" s="9">
        <f>+E21+E23+E25</f>
        <v>0</v>
      </c>
      <c r="M10" s="9">
        <f>+F21+F23+F25</f>
        <v>0</v>
      </c>
      <c r="N10" s="9">
        <f>+G21+G23+G25</f>
        <v>0</v>
      </c>
    </row>
    <row r="11" spans="2:14" x14ac:dyDescent="0.25">
      <c r="C11" t="s">
        <v>18</v>
      </c>
      <c r="F11" s="9">
        <f>+D11*1.5%</f>
        <v>0</v>
      </c>
      <c r="G11" s="9">
        <f>+F11</f>
        <v>0</v>
      </c>
      <c r="K11" s="9"/>
      <c r="L11" s="9"/>
      <c r="M11" s="9"/>
      <c r="N11" s="9"/>
    </row>
    <row r="12" spans="2:14" x14ac:dyDescent="0.25">
      <c r="D12" s="19"/>
      <c r="E12" s="19"/>
      <c r="F12" s="7"/>
      <c r="G12" s="7"/>
      <c r="K12" s="9"/>
      <c r="L12" s="9"/>
      <c r="M12" s="9"/>
      <c r="N12" s="9"/>
    </row>
    <row r="13" spans="2:14" x14ac:dyDescent="0.25">
      <c r="B13" s="4">
        <v>0.05</v>
      </c>
      <c r="C13" s="42" t="s">
        <v>17</v>
      </c>
      <c r="D13" s="9">
        <f>'State wise'!C26-SALES!D14</f>
        <v>7523.7999999999993</v>
      </c>
      <c r="E13" s="9">
        <f>+D13*0.05</f>
        <v>376.19</v>
      </c>
      <c r="F13" s="9">
        <v>0</v>
      </c>
      <c r="G13" s="9">
        <v>0</v>
      </c>
      <c r="I13" s="1" t="s">
        <v>1</v>
      </c>
      <c r="J13" s="3">
        <v>0</v>
      </c>
      <c r="K13" s="9">
        <f>+D7+D34</f>
        <v>0</v>
      </c>
      <c r="L13" s="9">
        <v>0</v>
      </c>
      <c r="M13" s="9">
        <v>0</v>
      </c>
      <c r="N13" s="9">
        <v>0</v>
      </c>
    </row>
    <row r="14" spans="2:14" x14ac:dyDescent="0.25">
      <c r="C14" s="42" t="s">
        <v>18</v>
      </c>
      <c r="D14" s="19">
        <f>'State wise'!C23</f>
        <v>13633.32</v>
      </c>
      <c r="F14" s="9">
        <f>+D14*2.5%</f>
        <v>340.83300000000003</v>
      </c>
      <c r="G14" s="9">
        <f>+F14</f>
        <v>340.83300000000003</v>
      </c>
      <c r="J14" s="3">
        <v>3</v>
      </c>
      <c r="K14" s="9">
        <f>+D10+D37</f>
        <v>0</v>
      </c>
      <c r="L14" s="9">
        <f>+E10+E37</f>
        <v>0</v>
      </c>
      <c r="M14" s="9">
        <f>+F10+F37</f>
        <v>0</v>
      </c>
      <c r="N14" s="9">
        <f>+G10+G37</f>
        <v>0</v>
      </c>
    </row>
    <row r="15" spans="2:14" x14ac:dyDescent="0.25">
      <c r="C15" s="42" t="s">
        <v>36</v>
      </c>
      <c r="D15" s="9">
        <f>'State wise'!D15-SALES!D16</f>
        <v>7380.579999999999</v>
      </c>
      <c r="E15" s="9">
        <f>+D15*5%</f>
        <v>369.029</v>
      </c>
      <c r="J15" s="3">
        <v>5</v>
      </c>
      <c r="K15" s="13">
        <f>+D13+D15+D17</f>
        <v>14904.379999999997</v>
      </c>
      <c r="L15" s="13">
        <f>+E13+E15+E17</f>
        <v>745.21900000000005</v>
      </c>
      <c r="M15" s="13">
        <f>+F13+F15+F17</f>
        <v>0</v>
      </c>
      <c r="N15" s="13">
        <f>+G13+G15+G17</f>
        <v>0</v>
      </c>
    </row>
    <row r="16" spans="2:14" x14ac:dyDescent="0.25">
      <c r="C16" s="42" t="s">
        <v>37</v>
      </c>
      <c r="D16" s="19">
        <f>'State wise'!D7</f>
        <v>4977.62</v>
      </c>
      <c r="F16" s="9">
        <f>+D16*2.5/100</f>
        <v>124.44049999999999</v>
      </c>
      <c r="G16" s="9">
        <f>+F16</f>
        <v>124.44049999999999</v>
      </c>
      <c r="I16" s="25"/>
      <c r="J16" s="3">
        <v>12</v>
      </c>
      <c r="K16" s="9">
        <f>+D20+D22+D24+D43</f>
        <v>0</v>
      </c>
      <c r="L16" s="9">
        <f>+E20+E22+E24</f>
        <v>0</v>
      </c>
      <c r="M16" s="9">
        <f>+F20+F22+F24</f>
        <v>0</v>
      </c>
      <c r="N16" s="9">
        <f>+G20+G22+G24</f>
        <v>0</v>
      </c>
    </row>
    <row r="17" spans="2:15" s="42" customFormat="1" x14ac:dyDescent="0.25">
      <c r="B17" s="3"/>
      <c r="C17" s="42" t="s">
        <v>41</v>
      </c>
      <c r="D17" s="9"/>
      <c r="E17" s="9"/>
      <c r="F17" s="9"/>
      <c r="G17" s="9"/>
      <c r="I17"/>
      <c r="J17" s="3"/>
      <c r="K17" s="9"/>
      <c r="L17" s="9"/>
      <c r="M17" s="9"/>
      <c r="N17" s="9"/>
    </row>
    <row r="18" spans="2:15" s="42" customFormat="1" ht="15.75" thickBot="1" x14ac:dyDescent="0.3">
      <c r="B18" s="3"/>
      <c r="C18" s="42" t="s">
        <v>44</v>
      </c>
      <c r="D18" s="9"/>
      <c r="E18" s="9"/>
      <c r="F18" s="9">
        <f>+D18*2.5/100</f>
        <v>0</v>
      </c>
      <c r="G18" s="9">
        <f>+F18</f>
        <v>0</v>
      </c>
      <c r="J18" s="3"/>
      <c r="K18" s="18">
        <f>SUM(K7:K17)</f>
        <v>36524.839999999997</v>
      </c>
      <c r="L18" s="18">
        <f>SUM(L7:L17)</f>
        <v>745.21900000000005</v>
      </c>
      <c r="M18" s="18">
        <f>SUM(M7:M17)</f>
        <v>540.51150000000007</v>
      </c>
      <c r="N18" s="18">
        <f>SUM(N7:N17)</f>
        <v>540.51150000000007</v>
      </c>
    </row>
    <row r="19" spans="2:15" ht="15.75" thickTop="1" x14ac:dyDescent="0.25">
      <c r="K19" s="23"/>
      <c r="L19" s="23"/>
      <c r="M19" s="23"/>
      <c r="N19" s="23"/>
    </row>
    <row r="20" spans="2:15" s="42" customFormat="1" x14ac:dyDescent="0.25">
      <c r="B20" s="4">
        <v>0.12</v>
      </c>
      <c r="C20" t="s">
        <v>17</v>
      </c>
      <c r="D20" s="9"/>
      <c r="E20" s="9">
        <f>+D20*12%</f>
        <v>0</v>
      </c>
      <c r="F20" s="9"/>
      <c r="G20" s="9"/>
      <c r="J20" s="3"/>
      <c r="K20" s="23"/>
      <c r="L20" s="23"/>
      <c r="M20" s="23"/>
      <c r="N20" s="23"/>
    </row>
    <row r="21" spans="2:15" x14ac:dyDescent="0.25">
      <c r="C21" t="s">
        <v>18</v>
      </c>
      <c r="D21" s="19"/>
      <c r="F21" s="9">
        <f>+D21*0.06</f>
        <v>0</v>
      </c>
      <c r="G21" s="9">
        <f>+F21</f>
        <v>0</v>
      </c>
      <c r="K21" s="23"/>
      <c r="L21" s="23"/>
      <c r="M21" s="23"/>
      <c r="N21" s="23"/>
    </row>
    <row r="22" spans="2:15" x14ac:dyDescent="0.25">
      <c r="B22" s="4"/>
      <c r="C22" t="s">
        <v>36</v>
      </c>
      <c r="E22" s="9">
        <f>+D22*12%</f>
        <v>0</v>
      </c>
      <c r="K22" s="23"/>
      <c r="L22" s="23"/>
      <c r="M22" s="23"/>
      <c r="N22" s="23"/>
    </row>
    <row r="23" spans="2:15" x14ac:dyDescent="0.25">
      <c r="B23" s="4"/>
      <c r="C23" s="40" t="s">
        <v>37</v>
      </c>
      <c r="D23" s="19"/>
      <c r="F23" s="9">
        <f>+D23*6/100</f>
        <v>0</v>
      </c>
      <c r="G23" s="9">
        <f>+F23</f>
        <v>0</v>
      </c>
      <c r="K23" s="23"/>
      <c r="L23" s="23"/>
      <c r="M23" s="23"/>
      <c r="N23" s="23"/>
    </row>
    <row r="24" spans="2:15" x14ac:dyDescent="0.25">
      <c r="B24" s="4"/>
      <c r="C24" s="42" t="s">
        <v>42</v>
      </c>
      <c r="E24" s="9">
        <f>+D24*12%</f>
        <v>0</v>
      </c>
      <c r="K24" s="23"/>
      <c r="L24" s="23"/>
      <c r="M24" s="23"/>
      <c r="N24" s="23"/>
    </row>
    <row r="25" spans="2:15" x14ac:dyDescent="0.25">
      <c r="B25" s="4"/>
      <c r="C25" s="42" t="s">
        <v>45</v>
      </c>
      <c r="F25" s="9">
        <f>+D25*6/100</f>
        <v>0</v>
      </c>
      <c r="G25" s="9">
        <f>+F25</f>
        <v>0</v>
      </c>
      <c r="K25" s="23"/>
      <c r="L25" s="23"/>
      <c r="M25" s="23"/>
      <c r="N25" s="23"/>
    </row>
    <row r="26" spans="2:15" ht="15.75" thickBot="1" x14ac:dyDescent="0.3">
      <c r="B26" s="4"/>
      <c r="D26" s="21">
        <f>SUM(D7:D25)</f>
        <v>33515.32</v>
      </c>
      <c r="E26" s="21">
        <f>SUM(E7:E25)</f>
        <v>745.21900000000005</v>
      </c>
      <c r="F26" s="21">
        <f>SUM(F7:F25)</f>
        <v>465.27350000000001</v>
      </c>
      <c r="G26" s="21">
        <f>SUM(G7:G25)</f>
        <v>465.27350000000001</v>
      </c>
      <c r="K26" s="23"/>
      <c r="L26" s="23"/>
      <c r="M26" s="23"/>
      <c r="N26" s="23"/>
    </row>
    <row r="27" spans="2:15" ht="15.75" thickTop="1" x14ac:dyDescent="0.25">
      <c r="K27" s="23"/>
      <c r="L27" s="23"/>
      <c r="M27" s="23"/>
      <c r="N27" s="23"/>
    </row>
    <row r="28" spans="2:15" x14ac:dyDescent="0.25">
      <c r="K28" s="23"/>
      <c r="L28" s="23"/>
      <c r="M28" s="23"/>
      <c r="N28" s="23"/>
    </row>
    <row r="29" spans="2:15" x14ac:dyDescent="0.25">
      <c r="C29" s="34" t="s">
        <v>28</v>
      </c>
      <c r="D29" s="24"/>
      <c r="E29" s="24"/>
      <c r="F29" s="7"/>
      <c r="G29" s="7"/>
      <c r="K29" s="9"/>
      <c r="L29" s="9"/>
      <c r="M29" s="9"/>
      <c r="N29" s="9"/>
    </row>
    <row r="30" spans="2:15" x14ac:dyDescent="0.25">
      <c r="D30" s="19"/>
      <c r="E30" s="19"/>
      <c r="F30" s="19"/>
      <c r="G30" s="19"/>
      <c r="H30" s="28"/>
      <c r="I30" s="28"/>
      <c r="J30" s="28"/>
      <c r="K30" s="28"/>
      <c r="L30" s="28"/>
      <c r="M30" s="28"/>
      <c r="N30" s="19"/>
      <c r="O30" s="29"/>
    </row>
    <row r="31" spans="2:15" ht="15.75" thickBot="1" x14ac:dyDescent="0.3">
      <c r="C31" s="20" t="s">
        <v>7</v>
      </c>
      <c r="D31" s="18" t="s">
        <v>19</v>
      </c>
      <c r="E31" s="44" t="s">
        <v>2</v>
      </c>
      <c r="F31" s="44" t="s">
        <v>3</v>
      </c>
      <c r="G31" s="44" t="s">
        <v>4</v>
      </c>
      <c r="H31" s="27"/>
      <c r="I31" s="27"/>
      <c r="J31" s="27"/>
      <c r="K31" s="27"/>
      <c r="L31" s="27"/>
      <c r="M31" s="27"/>
      <c r="N31" s="19"/>
      <c r="O31" s="29"/>
    </row>
    <row r="32" spans="2:15" ht="15.75" thickTop="1" x14ac:dyDescent="0.25">
      <c r="B32" s="4"/>
      <c r="D32" s="14"/>
      <c r="E32" s="14"/>
      <c r="F32" s="14"/>
      <c r="G32" s="14"/>
      <c r="H32" s="28"/>
      <c r="I32" s="28"/>
      <c r="J32" s="28"/>
      <c r="K32" s="28"/>
      <c r="L32" s="28"/>
      <c r="M32" s="28"/>
      <c r="N32" s="19"/>
      <c r="O32" s="29"/>
    </row>
    <row r="33" spans="2:15" x14ac:dyDescent="0.25">
      <c r="B33" s="4"/>
      <c r="D33" s="14"/>
      <c r="E33" s="14"/>
      <c r="F33" s="14"/>
      <c r="G33" s="14"/>
      <c r="H33" s="28"/>
      <c r="I33" s="28"/>
      <c r="J33" s="28"/>
      <c r="K33" s="28"/>
      <c r="L33" s="28"/>
      <c r="M33" s="28"/>
      <c r="N33" s="19"/>
      <c r="O33" s="29"/>
    </row>
    <row r="34" spans="2:15" x14ac:dyDescent="0.25">
      <c r="B34" s="4">
        <v>0</v>
      </c>
      <c r="C34" t="s">
        <v>17</v>
      </c>
      <c r="D34" s="14"/>
      <c r="F34" s="9">
        <v>0</v>
      </c>
      <c r="G34" s="9">
        <v>0</v>
      </c>
      <c r="H34" s="28"/>
      <c r="I34" s="28"/>
      <c r="J34" s="28"/>
      <c r="K34" s="28"/>
      <c r="L34" s="28"/>
      <c r="M34" s="28"/>
      <c r="N34" s="19"/>
      <c r="O34" s="29"/>
    </row>
    <row r="35" spans="2:15" x14ac:dyDescent="0.25">
      <c r="B35" s="4"/>
      <c r="C35" t="s">
        <v>18</v>
      </c>
      <c r="F35" s="9">
        <f>+D35*1.5%</f>
        <v>0</v>
      </c>
      <c r="G35" s="9">
        <f>+F35</f>
        <v>0</v>
      </c>
      <c r="H35" s="28"/>
      <c r="I35" s="28"/>
      <c r="J35" s="28"/>
      <c r="K35" s="28"/>
      <c r="L35" s="28"/>
      <c r="M35" s="28"/>
      <c r="N35" s="19"/>
      <c r="O35" s="29"/>
    </row>
    <row r="36" spans="2:15" x14ac:dyDescent="0.25">
      <c r="B36" s="4"/>
      <c r="D36" s="14"/>
      <c r="E36" s="14"/>
      <c r="F36" s="14"/>
      <c r="G36" s="14"/>
      <c r="H36" s="28"/>
      <c r="I36" s="28"/>
      <c r="J36" s="28"/>
      <c r="K36" s="28"/>
      <c r="L36" s="28"/>
      <c r="M36" s="28"/>
      <c r="N36" s="19"/>
      <c r="O36" s="29"/>
    </row>
    <row r="37" spans="2:15" x14ac:dyDescent="0.25">
      <c r="B37" s="4">
        <v>0.03</v>
      </c>
      <c r="C37" t="s">
        <v>17</v>
      </c>
      <c r="D37" s="14"/>
      <c r="E37" s="9">
        <f>+D37*0.03</f>
        <v>0</v>
      </c>
      <c r="F37" s="9">
        <v>0</v>
      </c>
      <c r="G37" s="9">
        <v>0</v>
      </c>
      <c r="H37" s="28"/>
      <c r="I37" s="28"/>
      <c r="J37" s="28"/>
      <c r="K37" s="28"/>
      <c r="L37" s="28"/>
      <c r="M37" s="28"/>
      <c r="N37" s="19"/>
      <c r="O37" s="29"/>
    </row>
    <row r="38" spans="2:15" x14ac:dyDescent="0.25">
      <c r="C38" t="s">
        <v>18</v>
      </c>
      <c r="F38" s="9">
        <f>+D38*1.5%</f>
        <v>0</v>
      </c>
      <c r="G38" s="9">
        <f>+F38</f>
        <v>0</v>
      </c>
      <c r="K38" s="9"/>
      <c r="L38" s="9"/>
      <c r="M38" s="9"/>
      <c r="N38" s="9"/>
    </row>
    <row r="39" spans="2:15" s="42" customFormat="1" x14ac:dyDescent="0.25">
      <c r="B39" s="3"/>
      <c r="D39" s="9"/>
      <c r="E39" s="9"/>
      <c r="F39" s="9"/>
      <c r="G39" s="9"/>
      <c r="J39" s="3"/>
      <c r="K39" s="9"/>
      <c r="L39" s="9"/>
      <c r="M39" s="9"/>
      <c r="N39" s="9"/>
    </row>
    <row r="40" spans="2:15" s="42" customFormat="1" x14ac:dyDescent="0.25">
      <c r="B40" s="4">
        <v>0.05</v>
      </c>
      <c r="C40" s="42" t="s">
        <v>17</v>
      </c>
      <c r="D40" s="14"/>
      <c r="E40" s="9">
        <f>+D40*0.05</f>
        <v>0</v>
      </c>
      <c r="F40" s="9">
        <v>0</v>
      </c>
      <c r="G40" s="9">
        <v>0</v>
      </c>
      <c r="J40" s="3"/>
      <c r="K40" s="9"/>
      <c r="L40" s="9"/>
      <c r="M40" s="9"/>
      <c r="N40" s="9"/>
    </row>
    <row r="41" spans="2:15" s="42" customFormat="1" x14ac:dyDescent="0.25">
      <c r="B41" s="3"/>
      <c r="C41" s="42" t="s">
        <v>18</v>
      </c>
      <c r="D41" s="9">
        <f>Amazon_B2b!F11</f>
        <v>3009.52</v>
      </c>
      <c r="E41" s="9"/>
      <c r="F41" s="9">
        <f>+D41*2.5%</f>
        <v>75.238</v>
      </c>
      <c r="G41" s="9">
        <f>+F41</f>
        <v>75.238</v>
      </c>
      <c r="J41" s="3"/>
      <c r="K41" s="9"/>
      <c r="L41" s="9"/>
      <c r="M41" s="9"/>
      <c r="N41" s="9"/>
    </row>
    <row r="42" spans="2:15" s="42" customFormat="1" x14ac:dyDescent="0.25">
      <c r="B42" s="3"/>
      <c r="D42" s="9" t="s">
        <v>75</v>
      </c>
      <c r="E42" s="9"/>
      <c r="F42" s="9"/>
      <c r="G42" s="9"/>
      <c r="J42" s="3"/>
      <c r="K42" s="9"/>
      <c r="L42" s="9"/>
      <c r="M42" s="9"/>
      <c r="N42" s="9"/>
    </row>
    <row r="43" spans="2:15" x14ac:dyDescent="0.25">
      <c r="B43" s="4">
        <v>0.12</v>
      </c>
      <c r="C43" t="s">
        <v>17</v>
      </c>
      <c r="E43" s="9">
        <f>+D43*0.12</f>
        <v>0</v>
      </c>
    </row>
    <row r="44" spans="2:15" x14ac:dyDescent="0.25">
      <c r="C44" t="s">
        <v>18</v>
      </c>
      <c r="E44" s="7"/>
      <c r="F44" s="9">
        <f>+D44*0.06</f>
        <v>0</v>
      </c>
      <c r="G44" s="9">
        <f>+F44</f>
        <v>0</v>
      </c>
    </row>
    <row r="45" spans="2:15" x14ac:dyDescent="0.25">
      <c r="B45" s="4"/>
      <c r="D45" s="19"/>
      <c r="E45" s="7"/>
      <c r="F45" s="7"/>
      <c r="G45" s="7"/>
    </row>
    <row r="46" spans="2:15" ht="15.75" thickBot="1" x14ac:dyDescent="0.3">
      <c r="B46" s="4"/>
      <c r="D46" s="21">
        <f>SUM(D34:D44)</f>
        <v>3009.52</v>
      </c>
      <c r="E46" s="21">
        <f>SUM(E34:E44)</f>
        <v>0</v>
      </c>
      <c r="F46" s="21">
        <f>SUM(F34:F44)</f>
        <v>75.238</v>
      </c>
      <c r="G46" s="21">
        <f>SUM(G34:G44)</f>
        <v>75.238</v>
      </c>
    </row>
    <row r="47" spans="2:15" ht="15.75" thickTop="1" x14ac:dyDescent="0.25"/>
    <row r="48" spans="2:15" x14ac:dyDescent="0.25">
      <c r="C48" s="33" t="s">
        <v>30</v>
      </c>
      <c r="D48" s="19"/>
      <c r="E48" s="19"/>
      <c r="F48" s="19"/>
      <c r="G48" s="19"/>
    </row>
    <row r="49" spans="2:10" x14ac:dyDescent="0.25">
      <c r="D49" s="19"/>
      <c r="E49" s="7"/>
      <c r="F49" s="7"/>
      <c r="G49" s="7"/>
    </row>
    <row r="50" spans="2:10" ht="15.75" thickBot="1" x14ac:dyDescent="0.3">
      <c r="C50" s="20" t="s">
        <v>7</v>
      </c>
      <c r="D50" s="18" t="s">
        <v>19</v>
      </c>
      <c r="E50" s="44" t="s">
        <v>2</v>
      </c>
      <c r="F50" s="44" t="s">
        <v>3</v>
      </c>
      <c r="G50" s="44" t="s">
        <v>4</v>
      </c>
    </row>
    <row r="51" spans="2:10" ht="15.75" thickTop="1" x14ac:dyDescent="0.25">
      <c r="B51" s="4">
        <v>0</v>
      </c>
      <c r="C51" t="s">
        <v>17</v>
      </c>
      <c r="D51" s="7">
        <f>+D34+D7</f>
        <v>0</v>
      </c>
      <c r="E51" s="45"/>
      <c r="F51" s="45"/>
      <c r="G51" s="45"/>
    </row>
    <row r="52" spans="2:10" x14ac:dyDescent="0.25">
      <c r="C52" t="s">
        <v>18</v>
      </c>
      <c r="D52" s="7">
        <f>+D35+D8</f>
        <v>0</v>
      </c>
      <c r="E52" s="45"/>
      <c r="F52" s="45"/>
      <c r="G52" s="45"/>
    </row>
    <row r="53" spans="2:10" x14ac:dyDescent="0.25">
      <c r="D53" s="14"/>
      <c r="E53" s="14"/>
      <c r="F53" s="14"/>
      <c r="G53" s="14"/>
    </row>
    <row r="54" spans="2:10" s="40" customFormat="1" x14ac:dyDescent="0.25">
      <c r="B54" s="4">
        <v>0.03</v>
      </c>
      <c r="C54" t="s">
        <v>17</v>
      </c>
      <c r="D54" s="14">
        <f t="shared" ref="D54:G55" si="0">+D10+D37</f>
        <v>0</v>
      </c>
      <c r="E54" s="14">
        <f t="shared" si="0"/>
        <v>0</v>
      </c>
      <c r="F54" s="14">
        <f t="shared" si="0"/>
        <v>0</v>
      </c>
      <c r="G54" s="14">
        <f t="shared" si="0"/>
        <v>0</v>
      </c>
      <c r="J54" s="3"/>
    </row>
    <row r="55" spans="2:10" s="40" customFormat="1" x14ac:dyDescent="0.25">
      <c r="B55" s="3"/>
      <c r="C55" t="s">
        <v>18</v>
      </c>
      <c r="D55" s="14">
        <f t="shared" si="0"/>
        <v>0</v>
      </c>
      <c r="E55" s="14">
        <f t="shared" si="0"/>
        <v>0</v>
      </c>
      <c r="F55" s="14">
        <f t="shared" si="0"/>
        <v>0</v>
      </c>
      <c r="G55" s="14">
        <f t="shared" si="0"/>
        <v>0</v>
      </c>
      <c r="J55" s="3"/>
    </row>
    <row r="56" spans="2:10" x14ac:dyDescent="0.25">
      <c r="D56" s="19"/>
      <c r="E56" s="7"/>
      <c r="F56" s="7"/>
      <c r="G56" s="7"/>
    </row>
    <row r="57" spans="2:10" x14ac:dyDescent="0.25">
      <c r="B57" s="4">
        <v>0.05</v>
      </c>
      <c r="C57" s="42" t="s">
        <v>17</v>
      </c>
      <c r="D57" s="14">
        <f>+D13+D40</f>
        <v>7523.7999999999993</v>
      </c>
      <c r="E57" s="14">
        <f t="shared" ref="E57:G58" si="1">+E13+E40</f>
        <v>376.19</v>
      </c>
      <c r="F57" s="14">
        <f t="shared" si="1"/>
        <v>0</v>
      </c>
      <c r="G57" s="14">
        <f t="shared" si="1"/>
        <v>0</v>
      </c>
    </row>
    <row r="58" spans="2:10" x14ac:dyDescent="0.25">
      <c r="C58" s="42" t="s">
        <v>18</v>
      </c>
      <c r="D58" s="14">
        <f>+D14+D41</f>
        <v>16642.84</v>
      </c>
      <c r="E58" s="14">
        <f t="shared" si="1"/>
        <v>0</v>
      </c>
      <c r="F58" s="14">
        <f>+F14+F41</f>
        <v>416.07100000000003</v>
      </c>
      <c r="G58" s="14">
        <f t="shared" si="1"/>
        <v>416.07100000000003</v>
      </c>
    </row>
    <row r="59" spans="2:10" x14ac:dyDescent="0.25">
      <c r="C59" s="42" t="s">
        <v>36</v>
      </c>
      <c r="D59" s="14">
        <f>+D15</f>
        <v>7380.579999999999</v>
      </c>
      <c r="E59" s="14">
        <f t="shared" ref="D59:G61" si="2">+E15</f>
        <v>369.029</v>
      </c>
      <c r="F59" s="14">
        <f t="shared" si="2"/>
        <v>0</v>
      </c>
      <c r="G59" s="14">
        <f t="shared" si="2"/>
        <v>0</v>
      </c>
    </row>
    <row r="60" spans="2:10" x14ac:dyDescent="0.25">
      <c r="C60" s="42" t="s">
        <v>37</v>
      </c>
      <c r="D60" s="14">
        <f t="shared" si="2"/>
        <v>4977.62</v>
      </c>
      <c r="E60" s="14">
        <f t="shared" si="2"/>
        <v>0</v>
      </c>
      <c r="F60" s="14">
        <f t="shared" si="2"/>
        <v>124.44049999999999</v>
      </c>
      <c r="G60" s="14">
        <f t="shared" si="2"/>
        <v>124.44049999999999</v>
      </c>
    </row>
    <row r="61" spans="2:10" x14ac:dyDescent="0.25">
      <c r="C61" s="42" t="s">
        <v>42</v>
      </c>
      <c r="D61" s="14">
        <f t="shared" si="2"/>
        <v>0</v>
      </c>
      <c r="E61" s="14">
        <f t="shared" si="2"/>
        <v>0</v>
      </c>
      <c r="F61" s="14">
        <f t="shared" si="2"/>
        <v>0</v>
      </c>
      <c r="G61" s="14">
        <f t="shared" si="2"/>
        <v>0</v>
      </c>
    </row>
    <row r="62" spans="2:10" s="42" customFormat="1" x14ac:dyDescent="0.25">
      <c r="B62" s="3"/>
      <c r="C62" s="42" t="s">
        <v>45</v>
      </c>
      <c r="D62" s="14">
        <f>+D18</f>
        <v>0</v>
      </c>
      <c r="E62" s="14"/>
      <c r="F62" s="14">
        <f>+F18</f>
        <v>0</v>
      </c>
      <c r="G62" s="14">
        <f>+G18</f>
        <v>0</v>
      </c>
      <c r="J62" s="3"/>
    </row>
    <row r="64" spans="2:10" x14ac:dyDescent="0.25">
      <c r="B64" s="4">
        <v>0.12</v>
      </c>
      <c r="C64" t="s">
        <v>17</v>
      </c>
      <c r="D64" s="14">
        <f>+D20+D43</f>
        <v>0</v>
      </c>
      <c r="E64" s="14">
        <f t="shared" ref="E64:G65" si="3">+E20+E43</f>
        <v>0</v>
      </c>
      <c r="F64" s="14">
        <f t="shared" si="3"/>
        <v>0</v>
      </c>
      <c r="G64" s="14">
        <f t="shared" si="3"/>
        <v>0</v>
      </c>
    </row>
    <row r="65" spans="2:10" x14ac:dyDescent="0.25">
      <c r="C65" t="s">
        <v>18</v>
      </c>
      <c r="D65" s="14">
        <f>+D21+D44</f>
        <v>0</v>
      </c>
      <c r="E65" s="14">
        <f t="shared" si="3"/>
        <v>0</v>
      </c>
      <c r="F65" s="14">
        <f t="shared" si="3"/>
        <v>0</v>
      </c>
      <c r="G65" s="14">
        <f t="shared" si="3"/>
        <v>0</v>
      </c>
    </row>
    <row r="66" spans="2:10" x14ac:dyDescent="0.25">
      <c r="C66" s="40" t="s">
        <v>36</v>
      </c>
      <c r="D66" s="14">
        <f t="shared" ref="D66:G69" si="4">+D22</f>
        <v>0</v>
      </c>
      <c r="E66" s="14">
        <f t="shared" si="4"/>
        <v>0</v>
      </c>
      <c r="F66" s="14">
        <f t="shared" si="4"/>
        <v>0</v>
      </c>
      <c r="G66" s="14">
        <f t="shared" si="4"/>
        <v>0</v>
      </c>
    </row>
    <row r="67" spans="2:10" x14ac:dyDescent="0.25">
      <c r="C67" s="40" t="s">
        <v>37</v>
      </c>
      <c r="D67" s="14">
        <f>+D23</f>
        <v>0</v>
      </c>
      <c r="E67" s="14">
        <f t="shared" si="4"/>
        <v>0</v>
      </c>
      <c r="F67" s="14">
        <f t="shared" si="4"/>
        <v>0</v>
      </c>
      <c r="G67" s="14">
        <f t="shared" si="4"/>
        <v>0</v>
      </c>
    </row>
    <row r="68" spans="2:10" x14ac:dyDescent="0.25">
      <c r="C68" s="42" t="s">
        <v>42</v>
      </c>
      <c r="D68" s="14">
        <f t="shared" si="4"/>
        <v>0</v>
      </c>
      <c r="E68" s="19">
        <f t="shared" si="4"/>
        <v>0</v>
      </c>
      <c r="F68" s="19">
        <f t="shared" si="4"/>
        <v>0</v>
      </c>
      <c r="G68" s="19">
        <f t="shared" si="4"/>
        <v>0</v>
      </c>
    </row>
    <row r="69" spans="2:10" s="42" customFormat="1" x14ac:dyDescent="0.25">
      <c r="B69" s="3"/>
      <c r="C69" s="42" t="s">
        <v>45</v>
      </c>
      <c r="D69" s="19">
        <f t="shared" si="4"/>
        <v>0</v>
      </c>
      <c r="E69" s="19">
        <f t="shared" si="4"/>
        <v>0</v>
      </c>
      <c r="F69" s="19">
        <f t="shared" si="4"/>
        <v>0</v>
      </c>
      <c r="G69" s="19">
        <f t="shared" si="4"/>
        <v>0</v>
      </c>
      <c r="J69" s="3"/>
    </row>
    <row r="70" spans="2:10" ht="15.75" thickBot="1" x14ac:dyDescent="0.3">
      <c r="D70" s="21">
        <f>SUM(D51:D69)</f>
        <v>36524.839999999997</v>
      </c>
      <c r="E70" s="21">
        <f>SUM(E51:E69)</f>
        <v>745.21900000000005</v>
      </c>
      <c r="F70" s="21">
        <f>SUM(F51:F69)</f>
        <v>540.51150000000007</v>
      </c>
      <c r="G70" s="21">
        <f>SUM(G51:G69)</f>
        <v>540.51150000000007</v>
      </c>
    </row>
    <row r="71" spans="2:10" ht="15.75" thickTop="1" x14ac:dyDescent="0.25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34"/>
  <sheetViews>
    <sheetView tabSelected="1" zoomScale="115" zoomScaleNormal="115" workbookViewId="0">
      <selection activeCell="K21" sqref="K21"/>
    </sheetView>
  </sheetViews>
  <sheetFormatPr defaultRowHeight="15" x14ac:dyDescent="0.25"/>
  <cols>
    <col min="1" max="1" width="1.42578125" customWidth="1"/>
    <col min="2" max="2" width="26.85546875" customWidth="1"/>
    <col min="3" max="3" width="15" bestFit="1" customWidth="1"/>
    <col min="4" max="4" width="12.140625" bestFit="1" customWidth="1"/>
    <col min="5" max="6" width="10.5703125" bestFit="1" customWidth="1"/>
    <col min="7" max="7" width="7" customWidth="1"/>
    <col min="8" max="8" width="4.28515625" customWidth="1"/>
    <col min="9" max="9" width="25.28515625" bestFit="1" customWidth="1"/>
    <col min="10" max="10" width="12.85546875" bestFit="1" customWidth="1"/>
    <col min="11" max="11" width="12.140625" bestFit="1" customWidth="1"/>
    <col min="12" max="12" width="12.85546875" bestFit="1" customWidth="1"/>
    <col min="13" max="13" width="12.7109375" customWidth="1"/>
  </cols>
  <sheetData>
    <row r="2" spans="2:13" x14ac:dyDescent="0.25">
      <c r="D2" s="1" t="s">
        <v>6</v>
      </c>
    </row>
    <row r="3" spans="2:13" ht="15.75" thickBot="1" x14ac:dyDescent="0.3">
      <c r="B3" s="6" t="s">
        <v>7</v>
      </c>
      <c r="C3" s="6" t="s">
        <v>8</v>
      </c>
      <c r="D3" s="6" t="s">
        <v>2</v>
      </c>
      <c r="E3" s="6" t="s">
        <v>3</v>
      </c>
      <c r="F3" s="6" t="s">
        <v>4</v>
      </c>
      <c r="I3" s="6" t="s">
        <v>9</v>
      </c>
      <c r="J3" s="6" t="s">
        <v>2</v>
      </c>
      <c r="K3" s="6" t="s">
        <v>3</v>
      </c>
      <c r="L3" s="6" t="s">
        <v>4</v>
      </c>
      <c r="M3" s="14"/>
    </row>
    <row r="4" spans="2:13" ht="15.75" thickTop="1" x14ac:dyDescent="0.25">
      <c r="C4" s="9"/>
      <c r="D4" s="9"/>
      <c r="E4" s="9"/>
      <c r="F4" s="9"/>
      <c r="I4" s="15" t="s">
        <v>11</v>
      </c>
      <c r="J4" s="9">
        <v>6478</v>
      </c>
      <c r="K4" s="9">
        <v>824</v>
      </c>
      <c r="L4" s="9">
        <v>824</v>
      </c>
    </row>
    <row r="5" spans="2:13" x14ac:dyDescent="0.25">
      <c r="B5" t="s">
        <v>35</v>
      </c>
      <c r="C5" s="72">
        <f>Input!I11</f>
        <v>6679.31</v>
      </c>
      <c r="D5" s="72">
        <f>Input!J11</f>
        <v>827.39</v>
      </c>
      <c r="E5" s="72">
        <f>Input!K11</f>
        <v>52.07</v>
      </c>
      <c r="F5" s="72">
        <f>Input!L11</f>
        <v>52.07</v>
      </c>
      <c r="I5" t="s">
        <v>13</v>
      </c>
      <c r="J5" s="9">
        <f>D9</f>
        <v>782.03</v>
      </c>
      <c r="K5" s="9">
        <f t="shared" ref="K5:L5" si="0">E9</f>
        <v>52.07</v>
      </c>
      <c r="L5" s="9">
        <f t="shared" si="0"/>
        <v>52.07</v>
      </c>
    </row>
    <row r="6" spans="2:13" x14ac:dyDescent="0.25">
      <c r="B6" s="35" t="s">
        <v>34</v>
      </c>
      <c r="C6" s="9">
        <f>'B2B-CDNR'!J10</f>
        <v>252</v>
      </c>
      <c r="D6" s="9">
        <f>'B2B-CDNR'!K10</f>
        <v>45.36</v>
      </c>
      <c r="E6" s="9">
        <f>'B2B-CDNR'!L10</f>
        <v>0</v>
      </c>
      <c r="F6" s="9">
        <f>'B2B-CDNR'!M10</f>
        <v>0</v>
      </c>
      <c r="J6" s="10">
        <f>ROUND(SUM(J4:J5),0)</f>
        <v>7260</v>
      </c>
      <c r="K6" s="10">
        <f>SUM(K4:K5)</f>
        <v>876.07</v>
      </c>
      <c r="L6" s="10">
        <f>SUM(L4:L5)</f>
        <v>876.07</v>
      </c>
      <c r="M6" s="36">
        <f>ROUND(J6+K6+L6,0)</f>
        <v>9012</v>
      </c>
    </row>
    <row r="7" spans="2:13" x14ac:dyDescent="0.25">
      <c r="B7" t="s">
        <v>55</v>
      </c>
      <c r="D7" s="9"/>
      <c r="E7" s="9"/>
      <c r="F7" s="9"/>
      <c r="J7" s="37"/>
      <c r="K7" s="37"/>
      <c r="L7" s="37"/>
    </row>
    <row r="8" spans="2:13" x14ac:dyDescent="0.25">
      <c r="C8" s="9"/>
      <c r="D8" s="9"/>
      <c r="E8" s="9"/>
      <c r="F8" s="9"/>
      <c r="I8" t="s">
        <v>12</v>
      </c>
      <c r="J8" s="9">
        <f>ROUND(D16,0)</f>
        <v>745</v>
      </c>
      <c r="K8" s="9">
        <f t="shared" ref="K8:L8" si="1">ROUND(E16,0)</f>
        <v>541</v>
      </c>
      <c r="L8" s="9">
        <f t="shared" si="1"/>
        <v>541</v>
      </c>
    </row>
    <row r="9" spans="2:13" ht="15.75" thickBot="1" x14ac:dyDescent="0.3">
      <c r="C9" s="21">
        <f>+C5-C6+C7</f>
        <v>6427.31</v>
      </c>
      <c r="D9" s="21">
        <f>D5-D6</f>
        <v>782.03</v>
      </c>
      <c r="E9" s="21">
        <f>+E5-E6+E7</f>
        <v>52.07</v>
      </c>
      <c r="F9" s="21">
        <f>+F5-F6+F7</f>
        <v>52.07</v>
      </c>
      <c r="J9" s="11"/>
      <c r="K9" s="11"/>
      <c r="L9" s="11"/>
    </row>
    <row r="10" spans="2:13" ht="15.75" thickTop="1" x14ac:dyDescent="0.25">
      <c r="J10" s="10">
        <f>J8</f>
        <v>745</v>
      </c>
      <c r="K10" s="10">
        <f>K8</f>
        <v>541</v>
      </c>
      <c r="L10" s="10">
        <f>L8</f>
        <v>541</v>
      </c>
    </row>
    <row r="11" spans="2:13" x14ac:dyDescent="0.25">
      <c r="D11" s="1" t="s">
        <v>10</v>
      </c>
      <c r="I11" s="2"/>
      <c r="J11" s="7"/>
      <c r="K11" s="7"/>
      <c r="L11" s="7"/>
    </row>
    <row r="12" spans="2:13" ht="15.75" thickBot="1" x14ac:dyDescent="0.3">
      <c r="B12" s="6" t="s">
        <v>7</v>
      </c>
      <c r="C12" s="6" t="s">
        <v>8</v>
      </c>
      <c r="D12" s="6" t="s">
        <v>2</v>
      </c>
      <c r="E12" s="6" t="s">
        <v>3</v>
      </c>
      <c r="F12" s="6" t="s">
        <v>4</v>
      </c>
      <c r="I12" s="2" t="s">
        <v>14</v>
      </c>
      <c r="J12" s="7">
        <f>J10</f>
        <v>745</v>
      </c>
      <c r="K12" s="7">
        <f>K10</f>
        <v>541</v>
      </c>
      <c r="L12" s="7">
        <f>L10</f>
        <v>541</v>
      </c>
    </row>
    <row r="13" spans="2:13" ht="15.75" thickTop="1" x14ac:dyDescent="0.25">
      <c r="B13" t="s">
        <v>52</v>
      </c>
      <c r="C13" s="8">
        <f>+SALES!D70</f>
        <v>36524.839999999997</v>
      </c>
      <c r="D13" s="8">
        <f>+SALES!E70</f>
        <v>745.21900000000005</v>
      </c>
      <c r="E13" s="8">
        <f>+SALES!F70</f>
        <v>540.51150000000007</v>
      </c>
      <c r="F13" s="8">
        <f>+SALES!G70</f>
        <v>540.51150000000007</v>
      </c>
      <c r="I13" s="2" t="s">
        <v>21</v>
      </c>
      <c r="J13" s="7"/>
      <c r="K13" s="7"/>
      <c r="L13" s="7"/>
    </row>
    <row r="14" spans="2:13" x14ac:dyDescent="0.25">
      <c r="C14" s="7"/>
      <c r="D14" s="9"/>
      <c r="E14" s="14"/>
      <c r="F14" s="14"/>
      <c r="I14" s="2" t="s">
        <v>25</v>
      </c>
      <c r="J14" s="9">
        <f>J12</f>
        <v>745</v>
      </c>
      <c r="K14" s="9">
        <f t="shared" ref="K14:L14" si="2">K12</f>
        <v>541</v>
      </c>
      <c r="L14" s="9">
        <f t="shared" si="2"/>
        <v>541</v>
      </c>
      <c r="M14" s="47">
        <f>J14+K14+L14</f>
        <v>1827</v>
      </c>
    </row>
    <row r="15" spans="2:13" x14ac:dyDescent="0.25">
      <c r="B15" s="12"/>
      <c r="D15" s="9"/>
      <c r="E15" s="9"/>
      <c r="F15" s="9"/>
      <c r="I15" s="2" t="s">
        <v>53</v>
      </c>
      <c r="J15" s="9"/>
      <c r="K15" s="9"/>
      <c r="L15" s="9"/>
    </row>
    <row r="16" spans="2:13" ht="15.75" thickBot="1" x14ac:dyDescent="0.3">
      <c r="C16" s="18">
        <f>SUM(C13:C15)</f>
        <v>36524.839999999997</v>
      </c>
      <c r="D16" s="26">
        <f>ROUND(SUM(D13:D15),0)</f>
        <v>745</v>
      </c>
      <c r="E16" s="26">
        <f>ROUND(SUM(E13:E15),0)</f>
        <v>541</v>
      </c>
      <c r="F16" s="26">
        <f>ROUND(SUM(F13:F15),0)</f>
        <v>541</v>
      </c>
      <c r="G16" s="36"/>
      <c r="I16" s="2" t="s">
        <v>54</v>
      </c>
      <c r="J16" s="47"/>
      <c r="L16" s="9"/>
    </row>
    <row r="17" spans="2:15" ht="15.75" thickTop="1" x14ac:dyDescent="0.25">
      <c r="C17" s="36"/>
      <c r="I17" t="s">
        <v>67</v>
      </c>
      <c r="J17" s="48">
        <f>J14+K14+L14-J6</f>
        <v>-5433</v>
      </c>
      <c r="K17" s="48">
        <f>ROUND(K15-K6,0)</f>
        <v>-876</v>
      </c>
      <c r="L17" s="48">
        <f t="shared" ref="L17" si="3">ROUND(L15-L6,0)</f>
        <v>-876</v>
      </c>
      <c r="M17" s="63">
        <f>+SUM(J17:L17)</f>
        <v>-7185</v>
      </c>
    </row>
    <row r="18" spans="2:15" x14ac:dyDescent="0.25">
      <c r="B18" s="29"/>
      <c r="C18" s="16"/>
      <c r="D18" s="16"/>
      <c r="E18" s="16"/>
      <c r="F18" s="16"/>
      <c r="G18" s="16"/>
      <c r="J18" s="9"/>
      <c r="K18" s="9"/>
      <c r="L18" s="9"/>
    </row>
    <row r="19" spans="2:15" x14ac:dyDescent="0.25">
      <c r="B19" s="33" t="s">
        <v>32</v>
      </c>
      <c r="J19" s="9"/>
      <c r="K19" s="9"/>
      <c r="L19" s="9"/>
    </row>
    <row r="20" spans="2:15" x14ac:dyDescent="0.25">
      <c r="B20" t="s">
        <v>72</v>
      </c>
      <c r="C20" s="58"/>
      <c r="D20" s="58"/>
      <c r="E20" s="58"/>
      <c r="F20" s="58"/>
      <c r="G20" s="46"/>
      <c r="H20" s="47"/>
      <c r="I20" s="1" t="s">
        <v>15</v>
      </c>
      <c r="J20" s="9">
        <f>+J6</f>
        <v>7260</v>
      </c>
      <c r="K20" s="9"/>
      <c r="L20" s="9">
        <f>+L6</f>
        <v>876.07</v>
      </c>
      <c r="M20" s="5" t="s">
        <v>11</v>
      </c>
    </row>
    <row r="21" spans="2:15" x14ac:dyDescent="0.25">
      <c r="B21" t="s">
        <v>70</v>
      </c>
      <c r="C21" s="58">
        <v>24167</v>
      </c>
      <c r="D21" s="7"/>
      <c r="E21" s="58"/>
      <c r="F21" s="59"/>
      <c r="H21" s="47"/>
      <c r="I21" t="s">
        <v>33</v>
      </c>
      <c r="J21" s="9"/>
      <c r="K21" s="9">
        <f>+K14</f>
        <v>541</v>
      </c>
      <c r="L21" s="9">
        <f>+L14</f>
        <v>541</v>
      </c>
      <c r="M21" s="13"/>
    </row>
    <row r="22" spans="2:15" x14ac:dyDescent="0.25">
      <c r="B22" s="16" t="s">
        <v>71</v>
      </c>
      <c r="C22" s="57">
        <v>12358</v>
      </c>
      <c r="D22" s="57"/>
      <c r="E22" s="57"/>
      <c r="F22" s="57"/>
      <c r="G22" s="46"/>
      <c r="I22" t="s">
        <v>38</v>
      </c>
      <c r="K22" s="9">
        <f>+K15</f>
        <v>0</v>
      </c>
      <c r="L22" s="9">
        <f>+L16</f>
        <v>0</v>
      </c>
    </row>
    <row r="23" spans="2:15" ht="15.75" thickBot="1" x14ac:dyDescent="0.3">
      <c r="B23" s="28"/>
      <c r="C23" s="41">
        <f>+SUM(C20:C22)</f>
        <v>36525</v>
      </c>
      <c r="D23" s="41">
        <f t="shared" ref="D23:F23" si="4">+SUM(D20:D22)</f>
        <v>0</v>
      </c>
      <c r="E23" s="41">
        <f t="shared" si="4"/>
        <v>0</v>
      </c>
      <c r="F23" s="41">
        <f t="shared" si="4"/>
        <v>0</v>
      </c>
    </row>
    <row r="24" spans="2:15" ht="15.75" thickTop="1" x14ac:dyDescent="0.25">
      <c r="G24" s="28"/>
      <c r="H24" s="28"/>
      <c r="I24" t="s">
        <v>23</v>
      </c>
      <c r="J24" s="60">
        <f>+J20-SUM(J21:L21)</f>
        <v>6178</v>
      </c>
      <c r="K24" s="60">
        <f>+K20-K22</f>
        <v>0</v>
      </c>
      <c r="L24" s="60">
        <f>+L20-L22</f>
        <v>876.07</v>
      </c>
      <c r="O24" s="16"/>
    </row>
    <row r="25" spans="2:15" x14ac:dyDescent="0.25">
      <c r="B25" s="62" t="s">
        <v>62</v>
      </c>
      <c r="C25" s="61"/>
      <c r="D25" s="27"/>
      <c r="E25" s="49"/>
      <c r="F25" s="27"/>
      <c r="G25" s="27"/>
      <c r="H25" s="27"/>
      <c r="J25" s="9"/>
      <c r="K25" s="9"/>
      <c r="L25" s="9"/>
    </row>
    <row r="26" spans="2:15" x14ac:dyDescent="0.25">
      <c r="B26" s="1"/>
      <c r="I26" s="27" t="s">
        <v>26</v>
      </c>
      <c r="J26" s="30"/>
      <c r="K26" s="30"/>
      <c r="L26" s="30"/>
      <c r="M26" s="16"/>
      <c r="N26" s="16"/>
    </row>
    <row r="27" spans="2:15" x14ac:dyDescent="0.25">
      <c r="B27" t="s">
        <v>78</v>
      </c>
      <c r="C27" s="47"/>
      <c r="D27" s="47"/>
      <c r="E27" s="47"/>
      <c r="F27" s="47"/>
      <c r="I27" s="27" t="s">
        <v>66</v>
      </c>
      <c r="J27" s="30"/>
      <c r="K27" s="30"/>
      <c r="L27" s="30"/>
    </row>
    <row r="28" spans="2:15" x14ac:dyDescent="0.25">
      <c r="C28" s="9"/>
    </row>
    <row r="29" spans="2:15" ht="15.75" thickBot="1" x14ac:dyDescent="0.3">
      <c r="J29" s="31">
        <f>ROUND(SUM(J26:J27),0)</f>
        <v>0</v>
      </c>
      <c r="K29" s="31">
        <f>ROUND(SUM(K26:K27),0)</f>
        <v>0</v>
      </c>
      <c r="L29" s="31">
        <f>ROUND(SUM(L26:L27),0)</f>
        <v>0</v>
      </c>
    </row>
    <row r="30" spans="2:15" ht="15.75" thickTop="1" x14ac:dyDescent="0.25"/>
    <row r="31" spans="2:15" ht="15.75" thickBot="1" x14ac:dyDescent="0.3">
      <c r="C31" s="36"/>
      <c r="I31" t="s">
        <v>22</v>
      </c>
      <c r="J31" s="32">
        <v>64</v>
      </c>
      <c r="K31" s="32">
        <v>68</v>
      </c>
      <c r="L31" s="32">
        <v>68</v>
      </c>
    </row>
    <row r="32" spans="2:15" ht="16.5" thickTop="1" thickBot="1" x14ac:dyDescent="0.3">
      <c r="B32" t="s">
        <v>65</v>
      </c>
      <c r="C32" s="73">
        <f>+C23+C30</f>
        <v>36525</v>
      </c>
      <c r="I32" t="s">
        <v>24</v>
      </c>
      <c r="J32" s="32">
        <f>J24</f>
        <v>6178</v>
      </c>
      <c r="K32" s="32">
        <f>K24</f>
        <v>0</v>
      </c>
      <c r="L32" s="32">
        <f>L24</f>
        <v>876.07</v>
      </c>
      <c r="M32" s="5" t="s">
        <v>11</v>
      </c>
    </row>
    <row r="33" spans="10:12" ht="15.75" thickTop="1" x14ac:dyDescent="0.25">
      <c r="J33" s="9"/>
      <c r="K33" s="9"/>
      <c r="L33" s="9"/>
    </row>
    <row r="34" spans="10:12" x14ac:dyDescent="0.25">
      <c r="J34" s="38"/>
      <c r="K34" s="38"/>
      <c r="L34" s="38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25"/>
  <sheetViews>
    <sheetView workbookViewId="0">
      <selection activeCell="D11" sqref="D11"/>
    </sheetView>
  </sheetViews>
  <sheetFormatPr defaultRowHeight="15" x14ac:dyDescent="0.3"/>
  <cols>
    <col min="1" max="1" width="9.140625" style="52"/>
    <col min="2" max="2" width="12.42578125" style="52" bestFit="1" customWidth="1"/>
    <col min="3" max="3" width="22" style="52" customWidth="1"/>
    <col min="4" max="4" width="27.42578125" style="52" customWidth="1"/>
    <col min="5" max="5" width="23.28515625" style="52" customWidth="1"/>
    <col min="6" max="6" width="24" style="51" customWidth="1"/>
    <col min="7" max="7" width="10.42578125" style="52" bestFit="1" customWidth="1"/>
    <col min="8" max="8" width="9.85546875" style="51" customWidth="1"/>
    <col min="9" max="9" width="10" style="51" customWidth="1"/>
    <col min="10" max="10" width="8.7109375" style="51" customWidth="1"/>
    <col min="11" max="11" width="16.85546875" style="51" bestFit="1" customWidth="1"/>
    <col min="12" max="16384" width="9.140625" style="52"/>
  </cols>
  <sheetData>
    <row r="3" spans="2:11" ht="16.5" x14ac:dyDescent="0.35">
      <c r="B3" s="50" t="s">
        <v>31</v>
      </c>
      <c r="C3" s="51"/>
      <c r="D3" s="51"/>
      <c r="E3" s="51"/>
    </row>
    <row r="4" spans="2:11" x14ac:dyDescent="0.3">
      <c r="C4" s="51"/>
      <c r="D4" s="51"/>
      <c r="E4" s="51"/>
    </row>
    <row r="5" spans="2:11" ht="17.25" thickBot="1" x14ac:dyDescent="0.4">
      <c r="B5" s="53" t="s">
        <v>46</v>
      </c>
      <c r="C5" s="54" t="s">
        <v>43</v>
      </c>
      <c r="D5" s="54" t="s">
        <v>47</v>
      </c>
      <c r="E5" s="54" t="s">
        <v>48</v>
      </c>
      <c r="F5" s="54" t="s">
        <v>40</v>
      </c>
      <c r="G5" s="54" t="s">
        <v>16</v>
      </c>
      <c r="H5" s="54" t="s">
        <v>2</v>
      </c>
      <c r="I5" s="54" t="s">
        <v>3</v>
      </c>
      <c r="J5" s="54" t="s">
        <v>4</v>
      </c>
      <c r="K5" s="54" t="s">
        <v>49</v>
      </c>
    </row>
    <row r="6" spans="2:11" s="55" customFormat="1" ht="16.5" thickTop="1" x14ac:dyDescent="0.3">
      <c r="B6" s="46" t="s">
        <v>103</v>
      </c>
      <c r="C6" s="79">
        <v>46260.456701388888</v>
      </c>
      <c r="D6" s="46" t="s">
        <v>104</v>
      </c>
      <c r="E6" s="46" t="s">
        <v>105</v>
      </c>
      <c r="F6" s="9">
        <v>3009.52</v>
      </c>
      <c r="G6" s="55">
        <v>5</v>
      </c>
      <c r="H6" s="46"/>
      <c r="I6" s="47">
        <f>F6*2.5/100</f>
        <v>75.238</v>
      </c>
      <c r="J6" s="47">
        <f>I6</f>
        <v>75.238</v>
      </c>
      <c r="K6" s="9">
        <f>F6+I6+J6</f>
        <v>3159.9959999999996</v>
      </c>
    </row>
    <row r="7" spans="2:11" ht="15.75" x14ac:dyDescent="0.3">
      <c r="B7" s="46"/>
      <c r="C7" s="79"/>
      <c r="D7" s="46"/>
      <c r="E7" s="46"/>
      <c r="F7" s="9"/>
      <c r="G7" s="55"/>
      <c r="H7" s="46"/>
      <c r="I7" s="47"/>
      <c r="J7" s="47"/>
      <c r="K7" s="9"/>
    </row>
    <row r="8" spans="2:11" ht="15.75" x14ac:dyDescent="0.3">
      <c r="B8" s="46"/>
      <c r="C8" s="80"/>
      <c r="D8" s="46"/>
      <c r="E8" s="46"/>
      <c r="F8" s="9"/>
      <c r="H8" s="46"/>
      <c r="I8" s="46"/>
      <c r="J8" s="46"/>
      <c r="K8" s="9"/>
    </row>
    <row r="9" spans="2:11" ht="15.75" x14ac:dyDescent="0.3">
      <c r="F9" s="9"/>
    </row>
    <row r="11" spans="2:11" ht="17.25" thickBot="1" x14ac:dyDescent="0.4">
      <c r="F11" s="54">
        <f>SUM(F6:F10)</f>
        <v>3009.52</v>
      </c>
      <c r="G11" s="54"/>
      <c r="H11" s="54">
        <f t="shared" ref="H11:K11" si="0">SUM(H6:H10)</f>
        <v>0</v>
      </c>
      <c r="I11" s="54">
        <f t="shared" si="0"/>
        <v>75.238</v>
      </c>
      <c r="J11" s="54">
        <f t="shared" si="0"/>
        <v>75.238</v>
      </c>
      <c r="K11" s="54">
        <f t="shared" si="0"/>
        <v>3159.9959999999996</v>
      </c>
    </row>
    <row r="12" spans="2:11" ht="15.75" thickTop="1" x14ac:dyDescent="0.3"/>
    <row r="13" spans="2:11" ht="15.75" x14ac:dyDescent="0.3">
      <c r="B13" s="46"/>
      <c r="C13" s="46"/>
      <c r="D13" s="46"/>
      <c r="E13" s="46"/>
      <c r="F13" s="9"/>
      <c r="G13" s="46"/>
      <c r="H13" s="46"/>
      <c r="I13" s="46"/>
      <c r="J13" s="46"/>
    </row>
    <row r="14" spans="2:11" ht="15.75" x14ac:dyDescent="0.3">
      <c r="B14" s="1"/>
      <c r="C14" s="79"/>
      <c r="E14" s="46"/>
      <c r="F14" s="9"/>
      <c r="G14" s="46"/>
      <c r="H14" s="46"/>
      <c r="I14" s="46"/>
      <c r="J14" s="46"/>
    </row>
    <row r="15" spans="2:11" ht="15.75" x14ac:dyDescent="0.3">
      <c r="B15" s="1"/>
      <c r="C15" s="79"/>
      <c r="E15" s="46"/>
      <c r="F15" s="9"/>
      <c r="G15" s="46"/>
      <c r="H15" s="46"/>
      <c r="I15" s="46"/>
      <c r="J15" s="46"/>
    </row>
    <row r="16" spans="2:11" ht="15.75" x14ac:dyDescent="0.3">
      <c r="B16" s="1"/>
      <c r="C16" s="79"/>
      <c r="E16" s="46"/>
      <c r="F16" s="9"/>
      <c r="G16" s="46"/>
      <c r="H16" s="46"/>
      <c r="I16" s="46"/>
      <c r="J16" s="46"/>
    </row>
    <row r="17" spans="2:10" ht="15.75" x14ac:dyDescent="0.3">
      <c r="B17" s="1"/>
      <c r="C17" s="79"/>
      <c r="E17" s="46"/>
      <c r="F17" s="9"/>
      <c r="G17" s="46"/>
      <c r="H17" s="46"/>
      <c r="I17" s="46"/>
      <c r="J17" s="46"/>
    </row>
    <row r="24" spans="2:10" ht="15.75" x14ac:dyDescent="0.3">
      <c r="B24" s="46"/>
      <c r="C24" s="46"/>
    </row>
    <row r="25" spans="2:10" ht="15.75" x14ac:dyDescent="0.3">
      <c r="B25" s="46"/>
      <c r="C25" s="46"/>
    </row>
  </sheetData>
  <pageMargins left="0.7" right="0.7" top="0.75" bottom="0.75" header="0.3" footer="0.3"/>
  <pageSetup paperSize="9" orientation="portrait" horizontalDpi="30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27"/>
  <sheetViews>
    <sheetView workbookViewId="0">
      <selection activeCell="J8" sqref="J8"/>
    </sheetView>
  </sheetViews>
  <sheetFormatPr defaultColWidth="23.28515625" defaultRowHeight="16.5" customHeight="1" x14ac:dyDescent="0.25"/>
  <cols>
    <col min="1" max="1" width="23.28515625" style="9"/>
    <col min="2" max="2" width="19.85546875" style="9" customWidth="1"/>
    <col min="3" max="3" width="16.42578125" style="9" bestFit="1" customWidth="1"/>
    <col min="4" max="4" width="19.5703125" style="9" bestFit="1" customWidth="1"/>
    <col min="5" max="5" width="9.42578125" style="9" bestFit="1" customWidth="1"/>
    <col min="6" max="6" width="8.7109375" style="9" bestFit="1" customWidth="1"/>
    <col min="7" max="8" width="9.5703125" style="9" bestFit="1" customWidth="1"/>
    <col min="9" max="16384" width="23.28515625" style="9"/>
  </cols>
  <sheetData>
    <row r="3" spans="2:9" ht="16.5" customHeight="1" x14ac:dyDescent="0.25">
      <c r="B3" s="75" t="s">
        <v>50</v>
      </c>
    </row>
    <row r="6" spans="2:9" ht="16.5" customHeight="1" thickBot="1" x14ac:dyDescent="0.3">
      <c r="B6" s="68" t="s">
        <v>39</v>
      </c>
      <c r="C6" s="68" t="s">
        <v>29</v>
      </c>
      <c r="D6" s="68" t="s">
        <v>40</v>
      </c>
      <c r="E6" s="68" t="s">
        <v>51</v>
      </c>
      <c r="F6" s="68" t="s">
        <v>2</v>
      </c>
      <c r="G6" s="68" t="s">
        <v>3</v>
      </c>
      <c r="H6" s="68" t="s">
        <v>4</v>
      </c>
    </row>
    <row r="7" spans="2:9" ht="16.5" customHeight="1" thickTop="1" x14ac:dyDescent="0.25">
      <c r="B7" s="1" t="s">
        <v>92</v>
      </c>
      <c r="C7" s="9">
        <f>D7+G7+H7</f>
        <v>5226.4800000000005</v>
      </c>
      <c r="D7" s="9">
        <v>4977.62</v>
      </c>
      <c r="E7" s="9">
        <v>5</v>
      </c>
      <c r="F7" s="77">
        <v>0</v>
      </c>
      <c r="G7" s="9">
        <v>124.43</v>
      </c>
      <c r="H7" s="9">
        <f>G7</f>
        <v>124.43</v>
      </c>
    </row>
    <row r="8" spans="2:9" ht="16.5" customHeight="1" x14ac:dyDescent="0.25">
      <c r="B8" s="56" t="s">
        <v>82</v>
      </c>
      <c r="C8" s="9">
        <f>D8+F8+G8+H8</f>
        <v>1968.14</v>
      </c>
      <c r="D8" s="9">
        <v>1874.42</v>
      </c>
      <c r="E8" s="9">
        <v>5</v>
      </c>
      <c r="F8" s="9">
        <v>93.72</v>
      </c>
      <c r="G8" s="9">
        <v>0</v>
      </c>
      <c r="H8" s="9">
        <v>0</v>
      </c>
    </row>
    <row r="9" spans="2:9" ht="16.5" customHeight="1" x14ac:dyDescent="0.25">
      <c r="B9" s="56" t="s">
        <v>83</v>
      </c>
      <c r="C9" s="9">
        <f t="shared" ref="C9:C12" si="0">D9+F9+G9+H9</f>
        <v>629</v>
      </c>
      <c r="D9" s="9">
        <v>599.04999999999995</v>
      </c>
      <c r="E9" s="9">
        <v>5</v>
      </c>
      <c r="F9" s="77">
        <v>29.95</v>
      </c>
      <c r="G9" s="9">
        <v>0</v>
      </c>
      <c r="H9" s="9">
        <v>0</v>
      </c>
    </row>
    <row r="10" spans="2:9" ht="16.5" customHeight="1" x14ac:dyDescent="0.25">
      <c r="B10" s="56" t="s">
        <v>94</v>
      </c>
      <c r="C10" s="9">
        <f t="shared" si="0"/>
        <v>2111</v>
      </c>
      <c r="D10" s="9">
        <v>2010.47</v>
      </c>
      <c r="E10" s="9">
        <v>5</v>
      </c>
      <c r="F10" s="77">
        <v>100.53</v>
      </c>
      <c r="G10" s="9">
        <v>0</v>
      </c>
      <c r="H10" s="9">
        <v>0</v>
      </c>
    </row>
    <row r="11" spans="2:9" ht="16.5" customHeight="1" thickBot="1" x14ac:dyDescent="0.3">
      <c r="B11" s="56" t="s">
        <v>110</v>
      </c>
      <c r="C11" s="9">
        <f t="shared" si="0"/>
        <v>462</v>
      </c>
      <c r="D11" s="77">
        <v>440</v>
      </c>
      <c r="E11" s="9">
        <v>5</v>
      </c>
      <c r="F11" s="77">
        <v>22</v>
      </c>
      <c r="G11" s="9">
        <v>0</v>
      </c>
      <c r="H11" s="9">
        <v>0</v>
      </c>
      <c r="I11" s="83"/>
    </row>
    <row r="12" spans="2:9" ht="16.5" customHeight="1" thickTop="1" x14ac:dyDescent="0.25">
      <c r="B12" s="56" t="s">
        <v>111</v>
      </c>
      <c r="C12" s="9">
        <f t="shared" si="0"/>
        <v>2579.4699999999998</v>
      </c>
      <c r="D12" s="77">
        <v>2456.64</v>
      </c>
      <c r="E12" s="9">
        <v>5</v>
      </c>
      <c r="F12" s="77">
        <v>122.83</v>
      </c>
      <c r="G12" s="9">
        <v>0</v>
      </c>
      <c r="H12" s="9">
        <v>0</v>
      </c>
    </row>
    <row r="15" spans="2:9" ht="16.5" customHeight="1" thickBot="1" x14ac:dyDescent="0.3">
      <c r="C15" s="26">
        <f>SUM(C7:C12)</f>
        <v>12976.09</v>
      </c>
      <c r="D15" s="26">
        <f>SUM(D7:D12)</f>
        <v>12358.199999999999</v>
      </c>
      <c r="E15" s="26"/>
      <c r="F15" s="26">
        <f>SUM(F7:F12)</f>
        <v>369.03</v>
      </c>
      <c r="G15" s="26">
        <f>SUM(G7:G12)</f>
        <v>124.43</v>
      </c>
      <c r="H15" s="26">
        <f>SUM(H7:H12)</f>
        <v>124.43</v>
      </c>
    </row>
    <row r="16" spans="2:9" ht="16.5" customHeight="1" thickTop="1" x14ac:dyDescent="0.25">
      <c r="B16" s="75" t="s">
        <v>31</v>
      </c>
    </row>
    <row r="18" spans="2:12" ht="16.5" customHeight="1" x14ac:dyDescent="0.25">
      <c r="B18" s="17" t="s">
        <v>39</v>
      </c>
      <c r="C18" s="17" t="s">
        <v>40</v>
      </c>
      <c r="D18" s="17" t="s">
        <v>79</v>
      </c>
      <c r="E18" s="17" t="s">
        <v>80</v>
      </c>
      <c r="F18" s="17" t="s">
        <v>81</v>
      </c>
      <c r="G18" s="46"/>
      <c r="H18" s="46"/>
      <c r="I18" s="46"/>
      <c r="J18" s="46"/>
      <c r="K18" s="46"/>
      <c r="L18" s="46"/>
    </row>
    <row r="19" spans="2:12" ht="16.5" customHeight="1" x14ac:dyDescent="0.25">
      <c r="B19" s="1" t="s">
        <v>86</v>
      </c>
      <c r="C19" s="9">
        <v>2257.14</v>
      </c>
      <c r="D19" s="9">
        <f>C19*5/100</f>
        <v>112.85699999999999</v>
      </c>
      <c r="E19" s="9">
        <v>0</v>
      </c>
      <c r="F19" s="9">
        <v>0</v>
      </c>
      <c r="G19" s="1"/>
      <c r="H19" s="46"/>
      <c r="I19" s="46"/>
      <c r="J19" s="46"/>
      <c r="K19" s="46"/>
      <c r="L19" s="46"/>
    </row>
    <row r="20" spans="2:12" ht="16.5" customHeight="1" x14ac:dyDescent="0.25">
      <c r="B20" s="1" t="s">
        <v>87</v>
      </c>
      <c r="C20" s="9">
        <v>752.38</v>
      </c>
      <c r="D20" s="9">
        <f t="shared" ref="D20:D22" si="1">C20*5/100</f>
        <v>37.619</v>
      </c>
      <c r="E20" s="9">
        <v>0</v>
      </c>
      <c r="F20" s="9">
        <v>0</v>
      </c>
      <c r="G20" s="1"/>
      <c r="H20" s="46"/>
      <c r="I20" s="46"/>
      <c r="J20" s="46"/>
      <c r="K20" s="46"/>
      <c r="L20" s="46"/>
    </row>
    <row r="21" spans="2:12" ht="16.5" customHeight="1" x14ac:dyDescent="0.25">
      <c r="B21" s="1" t="s">
        <v>88</v>
      </c>
      <c r="C21" s="9">
        <v>752.38</v>
      </c>
      <c r="D21" s="9">
        <f t="shared" si="1"/>
        <v>37.619</v>
      </c>
      <c r="E21" s="9">
        <v>0</v>
      </c>
      <c r="F21" s="9">
        <v>0</v>
      </c>
      <c r="G21" s="1"/>
      <c r="H21" s="46"/>
      <c r="I21" s="46"/>
      <c r="J21" s="46"/>
      <c r="K21" s="46"/>
      <c r="L21" s="46"/>
    </row>
    <row r="22" spans="2:12" ht="16.5" customHeight="1" x14ac:dyDescent="0.25">
      <c r="B22" s="1" t="s">
        <v>91</v>
      </c>
      <c r="C22" s="9">
        <v>3009.52</v>
      </c>
      <c r="D22" s="9">
        <f t="shared" si="1"/>
        <v>150.476</v>
      </c>
      <c r="E22" s="9">
        <v>0</v>
      </c>
      <c r="F22" s="9">
        <v>0</v>
      </c>
      <c r="G22" s="1"/>
      <c r="H22" s="46"/>
      <c r="I22" s="46"/>
      <c r="J22" s="46"/>
      <c r="K22" s="46"/>
      <c r="L22" s="46"/>
    </row>
    <row r="23" spans="2:12" ht="16.5" customHeight="1" x14ac:dyDescent="0.25">
      <c r="B23" s="1" t="s">
        <v>92</v>
      </c>
      <c r="C23" s="9">
        <v>13633.32</v>
      </c>
      <c r="D23" s="9">
        <v>0</v>
      </c>
      <c r="E23" s="9">
        <v>340.84</v>
      </c>
      <c r="F23" s="9">
        <f>E23</f>
        <v>340.84</v>
      </c>
      <c r="G23" s="1">
        <v>16642.8</v>
      </c>
      <c r="H23" s="46"/>
      <c r="I23" s="46"/>
      <c r="J23" s="46"/>
      <c r="K23" s="46"/>
      <c r="L23" s="46"/>
    </row>
    <row r="24" spans="2:12" ht="16.5" customHeight="1" x14ac:dyDescent="0.25">
      <c r="B24" s="1" t="s">
        <v>89</v>
      </c>
      <c r="C24" s="9">
        <v>752.38</v>
      </c>
      <c r="D24" s="9">
        <v>37.619</v>
      </c>
      <c r="E24" s="9">
        <v>0</v>
      </c>
      <c r="F24" s="9">
        <v>0</v>
      </c>
      <c r="G24" s="1"/>
      <c r="H24" s="46"/>
      <c r="I24" s="46"/>
      <c r="J24" s="46"/>
      <c r="K24" s="46"/>
      <c r="L24" s="46"/>
    </row>
    <row r="25" spans="2:12" ht="16.5" customHeight="1" x14ac:dyDescent="0.25">
      <c r="B25" s="1" t="s">
        <v>93</v>
      </c>
      <c r="E25" s="9">
        <v>0</v>
      </c>
      <c r="F25" s="9">
        <v>0</v>
      </c>
    </row>
    <row r="26" spans="2:12" ht="16.5" customHeight="1" thickBot="1" x14ac:dyDescent="0.3">
      <c r="C26" s="78">
        <f>SUM(C19:C25)</f>
        <v>21157.119999999999</v>
      </c>
      <c r="D26" s="78">
        <f t="shared" ref="D26:F26" si="2">SUM(D19:D25)</f>
        <v>376.19000000000005</v>
      </c>
      <c r="E26" s="78">
        <f t="shared" si="2"/>
        <v>340.84</v>
      </c>
      <c r="F26" s="78">
        <f t="shared" si="2"/>
        <v>340.84</v>
      </c>
    </row>
    <row r="27" spans="2:12" ht="16.5" customHeight="1" thickTop="1" x14ac:dyDescent="0.25"/>
  </sheetData>
  <sortState ref="B22:I33">
    <sortCondition ref="E22:E33"/>
  </sortState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6"/>
  <sheetViews>
    <sheetView workbookViewId="0">
      <selection activeCell="E7" sqref="E7"/>
    </sheetView>
  </sheetViews>
  <sheetFormatPr defaultRowHeight="15" x14ac:dyDescent="0.25"/>
  <cols>
    <col min="1" max="1" width="9.140625" style="70"/>
    <col min="2" max="2" width="10.5703125" style="70" bestFit="1" customWidth="1"/>
    <col min="3" max="3" width="19.140625" style="70" bestFit="1" customWidth="1"/>
    <col min="4" max="4" width="14.5703125" style="70" bestFit="1" customWidth="1"/>
    <col min="5" max="5" width="22.42578125" style="69" bestFit="1" customWidth="1"/>
    <col min="6" max="6" width="15" style="69" bestFit="1" customWidth="1"/>
    <col min="7" max="7" width="20.5703125" style="69" bestFit="1" customWidth="1"/>
    <col min="8" max="8" width="11.28515625" style="69" bestFit="1" customWidth="1"/>
    <col min="9" max="11" width="12" style="69" bestFit="1" customWidth="1"/>
    <col min="12" max="16384" width="9.140625" style="70"/>
  </cols>
  <sheetData>
    <row r="2" spans="2:11" x14ac:dyDescent="0.25">
      <c r="C2" s="71" t="s">
        <v>31</v>
      </c>
      <c r="D2" s="71" t="s">
        <v>74</v>
      </c>
    </row>
    <row r="3" spans="2:11" ht="15.75" thickBot="1" x14ac:dyDescent="0.3">
      <c r="D3" s="67" t="s">
        <v>56</v>
      </c>
      <c r="E3" s="68" t="s">
        <v>73</v>
      </c>
      <c r="F3" s="68" t="s">
        <v>29</v>
      </c>
      <c r="G3" s="68" t="s">
        <v>40</v>
      </c>
      <c r="H3" s="68" t="s">
        <v>51</v>
      </c>
      <c r="I3" s="68" t="s">
        <v>2</v>
      </c>
      <c r="J3" s="68" t="s">
        <v>3</v>
      </c>
      <c r="K3" s="68" t="s">
        <v>4</v>
      </c>
    </row>
    <row r="4" spans="2:11" ht="15.75" thickTop="1" x14ac:dyDescent="0.25">
      <c r="D4" s="70">
        <v>4201</v>
      </c>
      <c r="E4" s="69">
        <v>4</v>
      </c>
      <c r="G4" s="69">
        <v>3009.52</v>
      </c>
      <c r="H4" s="69">
        <v>5</v>
      </c>
      <c r="J4" s="69">
        <f>G4*2.5/100</f>
        <v>75.238</v>
      </c>
      <c r="K4" s="69">
        <f>J4</f>
        <v>75.238</v>
      </c>
    </row>
    <row r="6" spans="2:11" x14ac:dyDescent="0.25">
      <c r="D6" s="46"/>
    </row>
    <row r="7" spans="2:11" ht="15.75" thickBot="1" x14ac:dyDescent="0.3">
      <c r="F7" s="74">
        <f>SUM(F4:F6)</f>
        <v>0</v>
      </c>
      <c r="G7" s="74">
        <f t="shared" ref="G7:K7" si="0">SUM(G4:G6)</f>
        <v>3009.52</v>
      </c>
      <c r="H7" s="74"/>
      <c r="I7" s="74">
        <f t="shared" si="0"/>
        <v>0</v>
      </c>
      <c r="J7" s="74">
        <f t="shared" si="0"/>
        <v>75.238</v>
      </c>
      <c r="K7" s="74">
        <f t="shared" si="0"/>
        <v>75.238</v>
      </c>
    </row>
    <row r="8" spans="2:11" ht="15.75" thickTop="1" x14ac:dyDescent="0.25"/>
    <row r="9" spans="2:11" x14ac:dyDescent="0.25">
      <c r="C9" s="71" t="s">
        <v>31</v>
      </c>
      <c r="D9" s="71" t="s">
        <v>63</v>
      </c>
    </row>
    <row r="11" spans="2:11" x14ac:dyDescent="0.25">
      <c r="D11" s="17" t="s">
        <v>76</v>
      </c>
      <c r="E11" s="17" t="s">
        <v>77</v>
      </c>
      <c r="F11" s="17" t="s">
        <v>39</v>
      </c>
      <c r="G11" s="17" t="s">
        <v>40</v>
      </c>
      <c r="H11" s="17" t="s">
        <v>79</v>
      </c>
      <c r="I11" s="17" t="s">
        <v>80</v>
      </c>
      <c r="J11" s="17" t="s">
        <v>81</v>
      </c>
      <c r="K11" s="84"/>
    </row>
    <row r="12" spans="2:11" x14ac:dyDescent="0.25">
      <c r="D12" s="46">
        <v>29</v>
      </c>
      <c r="E12" s="1" t="s">
        <v>90</v>
      </c>
      <c r="F12" s="46"/>
      <c r="G12" s="46">
        <f>19561.88+847.62</f>
        <v>20409.5</v>
      </c>
      <c r="H12" s="46">
        <v>376.2</v>
      </c>
      <c r="I12" s="46">
        <f>21.19+300.96</f>
        <v>322.14999999999998</v>
      </c>
      <c r="J12" s="46">
        <f>I12</f>
        <v>322.14999999999998</v>
      </c>
    </row>
    <row r="13" spans="2:11" x14ac:dyDescent="0.25">
      <c r="B13" s="9"/>
      <c r="C13" s="46"/>
      <c r="D13" s="46">
        <v>2</v>
      </c>
      <c r="E13" s="87">
        <v>39269099</v>
      </c>
      <c r="F13" s="46"/>
      <c r="G13" s="46">
        <v>747.62</v>
      </c>
      <c r="H13" s="46"/>
      <c r="I13" s="46">
        <v>18.690000000000001</v>
      </c>
      <c r="J13" s="46">
        <v>18.690000000000001</v>
      </c>
    </row>
    <row r="14" spans="2:11" ht="15.75" thickBot="1" x14ac:dyDescent="0.3">
      <c r="D14" s="74">
        <f>SUM(D12:D12)</f>
        <v>29</v>
      </c>
      <c r="E14" s="74"/>
      <c r="F14" s="74">
        <f>SUM(F12:F12)</f>
        <v>0</v>
      </c>
      <c r="G14" s="74">
        <f>SUM(G12:G13)</f>
        <v>21157.119999999999</v>
      </c>
      <c r="H14" s="74">
        <f>SUM(H12:H13)</f>
        <v>376.2</v>
      </c>
      <c r="I14" s="74">
        <f>SUM(I12:I13)</f>
        <v>340.84</v>
      </c>
      <c r="J14" s="74">
        <f>SUM(J12:J13)</f>
        <v>340.84</v>
      </c>
      <c r="K14" s="68" t="s">
        <v>4</v>
      </c>
    </row>
    <row r="15" spans="2:11" ht="15.75" thickTop="1" x14ac:dyDescent="0.25">
      <c r="K15" s="77"/>
    </row>
    <row r="16" spans="2:11" x14ac:dyDescent="0.25">
      <c r="K16" s="77"/>
    </row>
    <row r="17" spans="3:11" x14ac:dyDescent="0.25">
      <c r="C17" s="71" t="s">
        <v>68</v>
      </c>
      <c r="D17" s="70" t="s">
        <v>69</v>
      </c>
    </row>
    <row r="18" spans="3:11" ht="15.75" thickBot="1" x14ac:dyDescent="0.3">
      <c r="D18" s="67" t="s">
        <v>56</v>
      </c>
      <c r="E18" s="68" t="s">
        <v>73</v>
      </c>
      <c r="F18" s="68" t="s">
        <v>29</v>
      </c>
      <c r="G18" s="68" t="s">
        <v>40</v>
      </c>
      <c r="H18" s="68" t="s">
        <v>51</v>
      </c>
      <c r="I18" s="68" t="s">
        <v>2</v>
      </c>
      <c r="J18" s="68" t="s">
        <v>3</v>
      </c>
      <c r="K18" s="74" t="s">
        <v>81</v>
      </c>
    </row>
    <row r="19" spans="3:11" ht="15.75" thickTop="1" x14ac:dyDescent="0.25">
      <c r="D19" s="76">
        <v>7437</v>
      </c>
      <c r="E19" s="76">
        <v>15</v>
      </c>
      <c r="G19" s="76">
        <v>9518.9500000000007</v>
      </c>
      <c r="I19" s="76">
        <v>319.45999999999998</v>
      </c>
      <c r="J19" s="76">
        <v>78.23</v>
      </c>
      <c r="K19" s="76">
        <v>78.23</v>
      </c>
    </row>
    <row r="20" spans="3:11" x14ac:dyDescent="0.25">
      <c r="D20" s="76">
        <v>39269099</v>
      </c>
      <c r="E20" s="76">
        <v>6</v>
      </c>
      <c r="G20" s="76">
        <v>2839.25</v>
      </c>
      <c r="H20" s="76"/>
      <c r="I20" s="76">
        <v>49.57</v>
      </c>
      <c r="J20" s="76">
        <v>46.19</v>
      </c>
      <c r="K20" s="76">
        <v>46.19</v>
      </c>
    </row>
    <row r="22" spans="3:11" ht="15.75" thickBot="1" x14ac:dyDescent="0.3">
      <c r="E22" s="74">
        <f>SUM(E19:E21)</f>
        <v>21</v>
      </c>
      <c r="F22" s="74">
        <f t="shared" ref="F22:H22" si="1">SUM(F19:F21)</f>
        <v>0</v>
      </c>
      <c r="G22" s="74">
        <f>SUM(G19:G21)</f>
        <v>12358.2</v>
      </c>
      <c r="H22" s="74">
        <f t="shared" si="1"/>
        <v>0</v>
      </c>
      <c r="I22" s="74">
        <f>SUM(I19:I21)</f>
        <v>369.03</v>
      </c>
      <c r="J22" s="74">
        <f>SUM(J19:J21)</f>
        <v>124.42</v>
      </c>
      <c r="K22" s="74">
        <f t="shared" ref="K22" si="2">SUM(K19:K21)</f>
        <v>124.42</v>
      </c>
    </row>
    <row r="23" spans="3:11" ht="15.75" thickTop="1" x14ac:dyDescent="0.25"/>
    <row r="24" spans="3:11" x14ac:dyDescent="0.25">
      <c r="D24" s="69"/>
      <c r="E24" s="70"/>
      <c r="F24" s="70"/>
      <c r="G24" s="70"/>
      <c r="H24" s="70"/>
      <c r="I24" s="70"/>
      <c r="J24" s="70"/>
      <c r="K24" s="70"/>
    </row>
    <row r="25" spans="3:11" x14ac:dyDescent="0.25">
      <c r="D25" s="69"/>
      <c r="E25" s="70"/>
      <c r="F25" s="70"/>
      <c r="G25" s="70"/>
      <c r="H25" s="70"/>
      <c r="I25" s="70"/>
      <c r="J25" s="70"/>
      <c r="K25" s="70"/>
    </row>
    <row r="26" spans="3:11" x14ac:dyDescent="0.25">
      <c r="D26" s="69"/>
      <c r="E26" s="70"/>
      <c r="F26" s="70"/>
      <c r="G26" s="70"/>
      <c r="H26" s="70"/>
      <c r="I26" s="70"/>
      <c r="J26" s="70"/>
      <c r="K26" s="70"/>
    </row>
  </sheetData>
  <pageMargins left="0.7" right="0.7" top="0.75" bottom="0.75" header="0.3" footer="0.3"/>
  <pageSetup paperSize="9" orientation="portrait" horizontalDpi="30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I18"/>
  <sheetViews>
    <sheetView topLeftCell="B1" workbookViewId="0">
      <selection activeCell="H16" sqref="H16"/>
    </sheetView>
  </sheetViews>
  <sheetFormatPr defaultRowHeight="15" x14ac:dyDescent="0.25"/>
  <cols>
    <col min="5" max="10" width="31.28515625" customWidth="1"/>
  </cols>
  <sheetData>
    <row r="2" spans="3:9" x14ac:dyDescent="0.25">
      <c r="E2" s="33" t="s">
        <v>31</v>
      </c>
    </row>
    <row r="3" spans="3:9" ht="29.25" customHeight="1" x14ac:dyDescent="0.25">
      <c r="E3" s="65" t="s">
        <v>57</v>
      </c>
      <c r="F3" s="65" t="s">
        <v>58</v>
      </c>
      <c r="G3" s="65" t="s">
        <v>59</v>
      </c>
      <c r="H3" s="65" t="s">
        <v>60</v>
      </c>
      <c r="I3" s="65" t="s">
        <v>61</v>
      </c>
    </row>
    <row r="4" spans="3:9" s="46" customFormat="1" x14ac:dyDescent="0.25">
      <c r="E4" s="46">
        <v>96</v>
      </c>
      <c r="F4" s="46">
        <v>119</v>
      </c>
      <c r="G4" s="46">
        <f>F4-E4+1</f>
        <v>24</v>
      </c>
      <c r="H4" s="46">
        <v>7</v>
      </c>
      <c r="I4" s="46">
        <f>G4-H4</f>
        <v>17</v>
      </c>
    </row>
    <row r="5" spans="3:9" s="46" customFormat="1" x14ac:dyDescent="0.25">
      <c r="E5" s="64"/>
    </row>
    <row r="6" spans="3:9" s="46" customFormat="1" x14ac:dyDescent="0.25">
      <c r="E6" s="66" t="s">
        <v>64</v>
      </c>
    </row>
    <row r="7" spans="3:9" s="46" customFormat="1" x14ac:dyDescent="0.25">
      <c r="E7" s="46" t="s">
        <v>115</v>
      </c>
      <c r="F7" s="46" t="s">
        <v>106</v>
      </c>
      <c r="G7" s="46">
        <v>4</v>
      </c>
      <c r="I7" s="46" t="s">
        <v>85</v>
      </c>
    </row>
    <row r="8" spans="3:9" s="46" customFormat="1" x14ac:dyDescent="0.25">
      <c r="E8" s="64"/>
    </row>
    <row r="9" spans="3:9" x14ac:dyDescent="0.25">
      <c r="E9" s="33" t="s">
        <v>50</v>
      </c>
    </row>
    <row r="11" spans="3:9" ht="28.5" customHeight="1" x14ac:dyDescent="0.25">
      <c r="E11" s="65" t="s">
        <v>57</v>
      </c>
      <c r="F11" s="65" t="s">
        <v>58</v>
      </c>
      <c r="G11" s="65" t="s">
        <v>59</v>
      </c>
      <c r="H11" s="65" t="s">
        <v>60</v>
      </c>
      <c r="I11" s="65" t="s">
        <v>61</v>
      </c>
    </row>
    <row r="12" spans="3:9" ht="18.75" customHeight="1" x14ac:dyDescent="0.25">
      <c r="E12" s="56" t="s">
        <v>107</v>
      </c>
      <c r="F12" s="56" t="s">
        <v>108</v>
      </c>
      <c r="G12" s="56" t="s">
        <v>109</v>
      </c>
      <c r="H12" s="56" t="s">
        <v>84</v>
      </c>
      <c r="I12" s="56" t="s">
        <v>109</v>
      </c>
    </row>
    <row r="13" spans="3:9" x14ac:dyDescent="0.25">
      <c r="E13" s="56"/>
      <c r="F13" s="56"/>
      <c r="G13" s="56"/>
      <c r="H13" s="56"/>
      <c r="I13" s="56"/>
    </row>
    <row r="16" spans="3:9" x14ac:dyDescent="0.25">
      <c r="C16" t="s">
        <v>114</v>
      </c>
      <c r="D16">
        <v>116</v>
      </c>
    </row>
    <row r="17" spans="3:5" x14ac:dyDescent="0.25">
      <c r="C17" t="s">
        <v>113</v>
      </c>
      <c r="D17" s="88">
        <v>103</v>
      </c>
    </row>
    <row r="18" spans="3:5" x14ac:dyDescent="0.25">
      <c r="C18" t="s">
        <v>112</v>
      </c>
      <c r="D18">
        <v>107</v>
      </c>
      <c r="E18" s="56"/>
    </row>
  </sheetData>
  <pageMargins left="0.7" right="0.7" top="0.75" bottom="0.75" header="0.3" footer="0.3"/>
  <pageSetup paperSize="9" orientation="portrait" horizontalDpi="30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E2" sqref="E2:G8"/>
    </sheetView>
  </sheetViews>
  <sheetFormatPr defaultRowHeight="15" x14ac:dyDescent="0.25"/>
  <cols>
    <col min="1" max="1" width="24.7109375" customWidth="1"/>
    <col min="2" max="2" width="9.5703125" customWidth="1"/>
    <col min="3" max="3" width="14.28515625" customWidth="1"/>
    <col min="5" max="5" width="13.140625" style="9" customWidth="1"/>
    <col min="6" max="10" width="9.140625" style="9"/>
  </cols>
  <sheetData>
    <row r="1" spans="1:7" ht="15.75" thickBot="1" x14ac:dyDescent="0.3">
      <c r="A1" s="68" t="s">
        <v>39</v>
      </c>
      <c r="B1" s="68" t="s">
        <v>29</v>
      </c>
      <c r="C1" s="68" t="s">
        <v>40</v>
      </c>
      <c r="D1" s="68" t="s">
        <v>51</v>
      </c>
      <c r="E1" s="68" t="s">
        <v>2</v>
      </c>
      <c r="F1" s="68" t="s">
        <v>3</v>
      </c>
      <c r="G1" s="68" t="s">
        <v>4</v>
      </c>
    </row>
    <row r="2" spans="1:7" ht="15.75" thickTop="1" x14ac:dyDescent="0.25">
      <c r="A2" s="85" t="s">
        <v>95</v>
      </c>
      <c r="B2" s="46"/>
      <c r="C2" s="9">
        <v>6287.45999999999</v>
      </c>
      <c r="D2" s="46"/>
      <c r="E2" s="9">
        <v>314.37599999999998</v>
      </c>
      <c r="F2" s="9">
        <v>0</v>
      </c>
      <c r="G2" s="9">
        <v>0</v>
      </c>
    </row>
    <row r="3" spans="1:7" x14ac:dyDescent="0.25">
      <c r="A3" s="1" t="s">
        <v>96</v>
      </c>
      <c r="B3" s="46"/>
      <c r="C3" s="9">
        <v>10402.9</v>
      </c>
      <c r="D3" s="46"/>
      <c r="E3" s="9">
        <v>520.13300000000004</v>
      </c>
      <c r="F3" s="9">
        <v>0</v>
      </c>
      <c r="G3" s="9">
        <v>0</v>
      </c>
    </row>
    <row r="4" spans="1:7" x14ac:dyDescent="0.25">
      <c r="A4" s="1" t="s">
        <v>97</v>
      </c>
      <c r="B4" s="46"/>
      <c r="C4" s="9">
        <v>4032.56</v>
      </c>
      <c r="D4" s="46"/>
      <c r="E4" s="9">
        <v>201.62799999999999</v>
      </c>
      <c r="F4" s="9">
        <v>0</v>
      </c>
      <c r="G4" s="9">
        <v>0</v>
      </c>
    </row>
    <row r="5" spans="1:7" x14ac:dyDescent="0.25">
      <c r="A5" s="1" t="s">
        <v>98</v>
      </c>
      <c r="B5" s="46"/>
      <c r="C5" s="9">
        <v>752.38</v>
      </c>
      <c r="D5" s="46"/>
      <c r="E5" s="9">
        <v>37.619</v>
      </c>
      <c r="F5" s="9">
        <v>0</v>
      </c>
      <c r="G5" s="9">
        <v>0</v>
      </c>
    </row>
    <row r="6" spans="1:7" x14ac:dyDescent="0.25">
      <c r="A6" s="1" t="s">
        <v>99</v>
      </c>
      <c r="B6" s="46"/>
      <c r="C6" s="9">
        <v>22723.42</v>
      </c>
      <c r="D6" s="46"/>
      <c r="E6" s="9">
        <v>0</v>
      </c>
      <c r="F6" s="9">
        <v>568.08550000000002</v>
      </c>
      <c r="G6" s="9">
        <v>568.08550000000002</v>
      </c>
    </row>
    <row r="7" spans="1:7" x14ac:dyDescent="0.25">
      <c r="A7" s="1" t="s">
        <v>100</v>
      </c>
      <c r="B7" s="46"/>
      <c r="C7" s="9">
        <v>752.38</v>
      </c>
      <c r="D7" s="46"/>
      <c r="E7" s="9">
        <v>37.619</v>
      </c>
      <c r="F7" s="9">
        <v>0</v>
      </c>
      <c r="G7" s="9">
        <v>0</v>
      </c>
    </row>
    <row r="8" spans="1:7" x14ac:dyDescent="0.25">
      <c r="A8" s="1" t="s">
        <v>101</v>
      </c>
      <c r="B8" s="46"/>
      <c r="C8" s="9">
        <v>752.38</v>
      </c>
      <c r="D8" s="46"/>
      <c r="E8" s="9">
        <v>37.619</v>
      </c>
      <c r="F8" s="9">
        <v>0</v>
      </c>
      <c r="G8" s="9">
        <v>0</v>
      </c>
    </row>
    <row r="9" spans="1:7" ht="15.75" thickBot="1" x14ac:dyDescent="0.3">
      <c r="C9" s="86">
        <f t="shared" ref="C9:G9" si="0">SUM(C2:C8)</f>
        <v>45703.479999999981</v>
      </c>
      <c r="D9" s="86">
        <f t="shared" si="0"/>
        <v>0</v>
      </c>
      <c r="E9" s="78">
        <f t="shared" si="0"/>
        <v>1148.9939999999997</v>
      </c>
      <c r="F9" s="78">
        <f t="shared" si="0"/>
        <v>568.08550000000002</v>
      </c>
      <c r="G9" s="78">
        <f t="shared" si="0"/>
        <v>568.08550000000002</v>
      </c>
    </row>
    <row r="10" spans="1:7" ht="15.75" thickTop="1" x14ac:dyDescent="0.2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U19"/>
  <sheetViews>
    <sheetView workbookViewId="0">
      <selection activeCell="D12" sqref="D12"/>
    </sheetView>
  </sheetViews>
  <sheetFormatPr defaultRowHeight="15" x14ac:dyDescent="0.25"/>
  <cols>
    <col min="4" max="4" width="21.85546875" customWidth="1"/>
    <col min="5" max="5" width="22.28515625" bestFit="1" customWidth="1"/>
    <col min="6" max="6" width="16.7109375" style="9" bestFit="1" customWidth="1"/>
    <col min="7" max="7" width="19.85546875" style="9" bestFit="1" customWidth="1"/>
    <col min="8" max="8" width="10.5703125" bestFit="1" customWidth="1"/>
    <col min="9" max="9" width="9.7109375" style="9" bestFit="1" customWidth="1"/>
    <col min="10" max="11" width="8.28515625" style="9" bestFit="1" customWidth="1"/>
    <col min="13" max="13" width="10.5703125" bestFit="1" customWidth="1"/>
    <col min="14" max="14" width="9.28515625" bestFit="1" customWidth="1"/>
  </cols>
  <sheetData>
    <row r="2" spans="1:47" s="46" customFormat="1" x14ac:dyDescent="0.25">
      <c r="C2" s="71"/>
      <c r="D2" s="71" t="s">
        <v>74</v>
      </c>
      <c r="E2" s="69"/>
      <c r="F2" s="69"/>
      <c r="G2" s="69"/>
      <c r="H2" s="69"/>
      <c r="I2" s="69"/>
      <c r="J2" s="69"/>
      <c r="K2" s="69"/>
    </row>
    <row r="3" spans="1:47" s="46" customFormat="1" ht="15.75" thickBot="1" x14ac:dyDescent="0.3">
      <c r="C3" s="70"/>
      <c r="D3" s="67" t="s">
        <v>56</v>
      </c>
      <c r="E3" s="68" t="s">
        <v>73</v>
      </c>
      <c r="F3" s="68" t="s">
        <v>29</v>
      </c>
      <c r="G3" s="68" t="s">
        <v>40</v>
      </c>
      <c r="H3" s="68" t="s">
        <v>51</v>
      </c>
      <c r="I3" s="68" t="s">
        <v>2</v>
      </c>
      <c r="J3" s="68" t="s">
        <v>3</v>
      </c>
      <c r="K3" s="68" t="s">
        <v>4</v>
      </c>
    </row>
    <row r="4" spans="1:47" s="46" customFormat="1" ht="15.75" thickTop="1" x14ac:dyDescent="0.25">
      <c r="C4" s="70"/>
      <c r="D4" s="70">
        <v>4201</v>
      </c>
      <c r="E4" s="69">
        <v>4</v>
      </c>
      <c r="F4" s="69"/>
      <c r="G4" s="69">
        <v>3390</v>
      </c>
      <c r="H4" s="69"/>
      <c r="I4" s="69"/>
      <c r="J4" s="69">
        <f>G4*2.5/100</f>
        <v>84.75</v>
      </c>
      <c r="K4" s="69">
        <f>J4</f>
        <v>84.75</v>
      </c>
    </row>
    <row r="5" spans="1:47" s="46" customFormat="1" x14ac:dyDescent="0.25">
      <c r="C5" s="70"/>
      <c r="D5" s="70"/>
      <c r="E5" s="69"/>
      <c r="F5" s="69"/>
      <c r="G5" s="69"/>
      <c r="H5" s="69"/>
      <c r="I5" s="69"/>
      <c r="J5" s="69"/>
      <c r="K5" s="69"/>
    </row>
    <row r="6" spans="1:47" s="46" customFormat="1" x14ac:dyDescent="0.25">
      <c r="C6" s="70"/>
      <c r="E6" s="69"/>
      <c r="F6" s="69"/>
      <c r="G6" s="69"/>
      <c r="H6" s="69"/>
      <c r="I6" s="69"/>
      <c r="J6" s="69"/>
      <c r="K6" s="69"/>
    </row>
    <row r="7" spans="1:47" s="46" customFormat="1" ht="15.75" thickBot="1" x14ac:dyDescent="0.3">
      <c r="C7" s="70"/>
      <c r="D7" s="70"/>
      <c r="E7" s="69">
        <f>SUM(E4:E6)</f>
        <v>4</v>
      </c>
      <c r="F7" s="74">
        <f>SUM(F4:F6)</f>
        <v>0</v>
      </c>
      <c r="G7" s="74">
        <f t="shared" ref="G7:K7" si="0">SUM(G4:G6)</f>
        <v>3390</v>
      </c>
      <c r="H7" s="74"/>
      <c r="I7" s="74">
        <f t="shared" si="0"/>
        <v>0</v>
      </c>
      <c r="J7" s="74">
        <f t="shared" si="0"/>
        <v>84.75</v>
      </c>
      <c r="K7" s="74">
        <f t="shared" si="0"/>
        <v>84.75</v>
      </c>
    </row>
    <row r="8" spans="1:47" s="46" customFormat="1" ht="15.75" thickTop="1" x14ac:dyDescent="0.25"/>
    <row r="9" spans="1:47" s="46" customFormat="1" x14ac:dyDescent="0.25">
      <c r="C9" s="46" t="s">
        <v>63</v>
      </c>
      <c r="F9" s="9"/>
      <c r="G9" s="9"/>
      <c r="I9" s="9"/>
      <c r="J9" s="9"/>
      <c r="K9" s="9"/>
    </row>
    <row r="10" spans="1:47" x14ac:dyDescent="0.25">
      <c r="D10" s="17" t="s">
        <v>77</v>
      </c>
      <c r="E10" s="17" t="s">
        <v>102</v>
      </c>
      <c r="F10" s="17" t="s">
        <v>40</v>
      </c>
      <c r="G10" s="17" t="s">
        <v>79</v>
      </c>
      <c r="H10" s="17" t="s">
        <v>80</v>
      </c>
      <c r="I10" s="17" t="s">
        <v>81</v>
      </c>
      <c r="J10" s="77"/>
      <c r="K10"/>
    </row>
    <row r="11" spans="1:47" ht="15" customHeight="1" x14ac:dyDescent="0.25">
      <c r="D11" s="1">
        <v>4201</v>
      </c>
      <c r="E11" s="46">
        <v>58</v>
      </c>
      <c r="F11" s="9">
        <v>42949.920000000006</v>
      </c>
      <c r="G11" s="9">
        <v>1148.993999999999</v>
      </c>
      <c r="H11" s="9">
        <v>499.24549999999908</v>
      </c>
      <c r="I11" s="9">
        <v>499.24549999999908</v>
      </c>
      <c r="J11" s="46"/>
      <c r="K11"/>
    </row>
    <row r="12" spans="1:47" s="81" customFormat="1" ht="15" customHeight="1" thickBot="1" x14ac:dyDescent="0.3">
      <c r="A12" s="29"/>
      <c r="B12" s="29"/>
      <c r="C12" s="29"/>
      <c r="D12" s="82">
        <v>39269099</v>
      </c>
      <c r="E12" s="46">
        <v>5</v>
      </c>
      <c r="F12" s="77">
        <v>2753.64</v>
      </c>
      <c r="G12" s="77">
        <v>0</v>
      </c>
      <c r="H12" s="77">
        <v>68.83</v>
      </c>
      <c r="I12" s="77">
        <v>68.83</v>
      </c>
      <c r="J12" s="1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</row>
    <row r="13" spans="1:47" ht="15" customHeight="1" thickTop="1" thickBot="1" x14ac:dyDescent="0.3">
      <c r="D13" s="46"/>
      <c r="E13" s="46"/>
      <c r="F13" s="78">
        <f>SUM(F11:F12)</f>
        <v>45703.560000000005</v>
      </c>
      <c r="G13" s="78">
        <f>SUM(G11:G12)</f>
        <v>1148.993999999999</v>
      </c>
      <c r="H13" s="78">
        <f>SUM(H11:H12)</f>
        <v>568.07549999999912</v>
      </c>
      <c r="I13" s="78">
        <f>SUM(I11:I12)</f>
        <v>568.07549999999912</v>
      </c>
      <c r="J13"/>
      <c r="K13"/>
    </row>
    <row r="14" spans="1:47" ht="15" customHeight="1" thickTop="1" x14ac:dyDescent="0.25">
      <c r="F14"/>
      <c r="G14" s="46"/>
      <c r="H14" s="46"/>
      <c r="I14" s="46"/>
      <c r="J14"/>
      <c r="K14"/>
    </row>
    <row r="15" spans="1:47" ht="15" customHeight="1" x14ac:dyDescent="0.25">
      <c r="F15"/>
      <c r="G15"/>
      <c r="I15"/>
      <c r="J15"/>
      <c r="K15"/>
    </row>
    <row r="16" spans="1:47" ht="15" customHeight="1" x14ac:dyDescent="0.25">
      <c r="F16"/>
      <c r="G16"/>
      <c r="I16"/>
      <c r="J16"/>
      <c r="K16"/>
    </row>
    <row r="17" spans="6:11" ht="15" customHeight="1" x14ac:dyDescent="0.25">
      <c r="F17"/>
      <c r="G17"/>
      <c r="I17"/>
      <c r="J17"/>
      <c r="K17"/>
    </row>
    <row r="18" spans="6:11" ht="15" customHeight="1" x14ac:dyDescent="0.25">
      <c r="F18"/>
      <c r="G18"/>
      <c r="I18"/>
      <c r="J18"/>
      <c r="K18"/>
    </row>
    <row r="19" spans="6:11" ht="15" customHeight="1" x14ac:dyDescent="0.25">
      <c r="F19"/>
      <c r="G19"/>
      <c r="I19"/>
      <c r="J19"/>
      <c r="K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Input</vt:lpstr>
      <vt:lpstr>B2B-CDNR</vt:lpstr>
      <vt:lpstr>SALES</vt:lpstr>
      <vt:lpstr>TAX CALCULATION</vt:lpstr>
      <vt:lpstr>Amazon_B2b</vt:lpstr>
      <vt:lpstr>State wise</vt:lpstr>
      <vt:lpstr>hsn Code</vt:lpstr>
      <vt:lpstr>Document</vt:lpstr>
      <vt:lpstr>Consolidated</vt:lpstr>
      <vt:lpstr>HSN Consolidated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L.K</dc:creator>
  <cp:lastModifiedBy>smart</cp:lastModifiedBy>
  <dcterms:created xsi:type="dcterms:W3CDTF">2017-08-24T16:12:12Z</dcterms:created>
  <dcterms:modified xsi:type="dcterms:W3CDTF">2026-09-15T11:18:47Z</dcterms:modified>
</cp:coreProperties>
</file>
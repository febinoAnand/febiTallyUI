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7520" windowHeight="6870" activeTab="3"/>
  </bookViews>
  <sheets>
    <sheet name="Input" sheetId="31" r:id="rId1"/>
    <sheet name="Credit Note" sheetId="25" r:id="rId2"/>
    <sheet name="SALES" sheetId="1" r:id="rId3"/>
    <sheet name="TAX CALCULATION" sheetId="8" r:id="rId4"/>
    <sheet name="B2B" sheetId="39" r:id="rId5"/>
    <sheet name="Company Wise Sales" sheetId="85" r:id="rId6"/>
    <sheet name="conso sales" sheetId="96" r:id="rId7"/>
    <sheet name="HSN CODE" sheetId="93" r:id="rId8"/>
    <sheet name="Documents" sheetId="76" r:id="rId9"/>
    <sheet name="conso hsn" sheetId="97" r:id="rId10"/>
  </sheets>
  <externalReferences>
    <externalReference r:id="rId11"/>
  </externalReferences>
  <definedNames>
    <definedName name="Sheet_1_ListCol_1">[1]INTER!$A$8:$A$45</definedName>
  </definedNames>
  <calcPr calcId="144525"/>
</workbook>
</file>

<file path=xl/calcChain.xml><?xml version="1.0" encoding="utf-8"?>
<calcChain xmlns="http://schemas.openxmlformats.org/spreadsheetml/2006/main">
  <c r="F8" i="8" l="1"/>
  <c r="E8" i="8"/>
  <c r="D8" i="8"/>
  <c r="C8" i="8"/>
  <c r="F7" i="8"/>
  <c r="E7" i="8"/>
  <c r="D7" i="8"/>
  <c r="C7" i="8"/>
  <c r="G10" i="25"/>
  <c r="H10" i="25"/>
  <c r="I10" i="25"/>
  <c r="J10" i="25"/>
  <c r="K10" i="25"/>
  <c r="L10" i="25"/>
  <c r="M10" i="25"/>
  <c r="F22" i="31"/>
  <c r="G22" i="31"/>
  <c r="H22" i="31"/>
  <c r="I22" i="31"/>
  <c r="J22" i="31"/>
  <c r="K22" i="31"/>
  <c r="L22" i="31"/>
  <c r="D40" i="1" l="1"/>
  <c r="D8" i="93"/>
  <c r="F12" i="39" l="1"/>
  <c r="C45" i="8" s="1"/>
  <c r="D39" i="1"/>
  <c r="D18" i="1"/>
  <c r="D19" i="1"/>
  <c r="D16" i="1"/>
  <c r="D17" i="1"/>
  <c r="D14" i="1"/>
  <c r="D15" i="1"/>
  <c r="E23" i="97"/>
  <c r="F23" i="97"/>
  <c r="G23" i="97"/>
  <c r="H23" i="97"/>
  <c r="B36" i="96"/>
  <c r="C36" i="96"/>
  <c r="D36" i="96"/>
  <c r="E36" i="96"/>
  <c r="G6" i="76"/>
  <c r="D50" i="8"/>
  <c r="C47" i="8"/>
  <c r="B46" i="93"/>
  <c r="C46" i="93"/>
  <c r="D46" i="93"/>
  <c r="E46" i="93"/>
  <c r="F46" i="93"/>
  <c r="G46" i="93"/>
  <c r="H46" i="93"/>
  <c r="I46" i="93"/>
  <c r="B102" i="85"/>
  <c r="C102" i="85"/>
  <c r="D102" i="85"/>
  <c r="E102" i="85"/>
  <c r="B21" i="93"/>
  <c r="B28" i="93"/>
  <c r="C28" i="93"/>
  <c r="D28" i="93"/>
  <c r="E28" i="93"/>
  <c r="F28" i="93"/>
  <c r="G28" i="93"/>
  <c r="H28" i="93"/>
  <c r="I28" i="93"/>
  <c r="D29" i="85"/>
  <c r="D59" i="85"/>
  <c r="H59" i="85"/>
  <c r="G59" i="85"/>
  <c r="F59" i="85"/>
  <c r="E59" i="85"/>
  <c r="G32" i="85"/>
  <c r="F32" i="85"/>
  <c r="F21" i="93"/>
  <c r="G21" i="93"/>
  <c r="H21" i="93"/>
  <c r="I21" i="93"/>
  <c r="E29" i="85"/>
  <c r="F29" i="85"/>
  <c r="G29" i="85"/>
  <c r="E4" i="76"/>
  <c r="E11" i="76"/>
  <c r="G8" i="93"/>
  <c r="F8" i="93"/>
  <c r="E8" i="93"/>
  <c r="C8" i="93"/>
  <c r="J9" i="39"/>
  <c r="I9" i="39"/>
  <c r="I12" i="39" s="1"/>
  <c r="H8" i="39"/>
  <c r="E8" i="39" s="1"/>
  <c r="H7" i="39"/>
  <c r="E7" i="39" s="1"/>
  <c r="H6" i="39"/>
  <c r="E6" i="39" s="1"/>
  <c r="H5" i="39"/>
  <c r="H12" i="39" l="1"/>
  <c r="J12" i="39"/>
  <c r="E5" i="39"/>
  <c r="E12" i="39" s="1"/>
  <c r="E9" i="39"/>
  <c r="C11" i="8"/>
  <c r="G11" i="76" l="1"/>
  <c r="G4" i="76"/>
  <c r="D49" i="1" l="1"/>
  <c r="D54" i="1" l="1"/>
  <c r="C16" i="8" s="1"/>
  <c r="D31" i="1" l="1"/>
  <c r="D58" i="1" s="1"/>
  <c r="F7" i="1"/>
  <c r="C48" i="8" l="1"/>
  <c r="C30" i="8" l="1"/>
  <c r="F40" i="1" l="1"/>
  <c r="E24" i="1"/>
  <c r="F15" i="1"/>
  <c r="G15" i="1" s="1"/>
  <c r="F25" i="1" l="1"/>
  <c r="G25" i="1" s="1"/>
  <c r="E16" i="1"/>
  <c r="M33" i="8" l="1"/>
  <c r="D11" i="8" l="1"/>
  <c r="F17" i="1" l="1"/>
  <c r="E14" i="1" l="1"/>
  <c r="E39" i="1"/>
  <c r="D48" i="8" l="1"/>
  <c r="F30" i="8" l="1"/>
  <c r="E30" i="8"/>
  <c r="D30" i="8"/>
  <c r="G40" i="1" l="1"/>
  <c r="E18" i="1" l="1"/>
  <c r="E20" i="1"/>
  <c r="L20" i="1" l="1"/>
  <c r="L14" i="1"/>
  <c r="L19" i="1" l="1"/>
  <c r="D44" i="1" l="1"/>
  <c r="D57" i="1" s="1"/>
  <c r="G7" i="1" l="1"/>
  <c r="F23" i="1" l="1"/>
  <c r="G23" i="1" s="1"/>
  <c r="E22" i="1"/>
  <c r="F11" i="8" l="1"/>
  <c r="E11" i="8"/>
  <c r="K7" i="8" s="1"/>
  <c r="F41" i="1" l="1"/>
  <c r="F44" i="1" s="1"/>
  <c r="F57" i="1" s="1"/>
  <c r="G41" i="1" l="1"/>
  <c r="G44" i="1" l="1"/>
  <c r="G57" i="1" s="1"/>
  <c r="D52" i="1" l="1"/>
  <c r="F21" i="1"/>
  <c r="F19" i="1" l="1"/>
  <c r="F30" i="1"/>
  <c r="F52" i="1" s="1"/>
  <c r="E29" i="1"/>
  <c r="G17" i="1"/>
  <c r="E52" i="1" l="1"/>
  <c r="E31" i="1"/>
  <c r="E58" i="1" s="1"/>
  <c r="F49" i="1"/>
  <c r="F54" i="1" s="1"/>
  <c r="E16" i="8" s="1"/>
  <c r="E49" i="1"/>
  <c r="F31" i="1"/>
  <c r="F58" i="1" s="1"/>
  <c r="E44" i="1"/>
  <c r="E57" i="1" s="1"/>
  <c r="G30" i="1"/>
  <c r="G52" i="1" s="1"/>
  <c r="G19" i="1"/>
  <c r="E54" i="1" l="1"/>
  <c r="D16" i="8" s="1"/>
  <c r="D18" i="8" s="1"/>
  <c r="G21" i="1"/>
  <c r="G49" i="1" s="1"/>
  <c r="G31" i="1" l="1"/>
  <c r="G58" i="1" s="1"/>
  <c r="G54" i="1"/>
  <c r="F16" i="8" s="1"/>
  <c r="N29" i="1"/>
  <c r="O29" i="1" s="1"/>
  <c r="L29" i="1"/>
  <c r="M29" i="1"/>
  <c r="F18" i="8" l="1"/>
  <c r="E18" i="8"/>
  <c r="M22" i="8"/>
  <c r="K26" i="8" l="1"/>
  <c r="J26" i="8"/>
  <c r="L26" i="8" l="1"/>
  <c r="J28" i="8"/>
  <c r="L28" i="8" l="1"/>
  <c r="K28" i="8"/>
  <c r="K27" i="8" l="1"/>
  <c r="J27" i="8"/>
  <c r="J29" i="8" s="1"/>
  <c r="L27" i="8" l="1"/>
  <c r="L29" i="8" s="1"/>
  <c r="K29" i="8"/>
  <c r="C18" i="8" l="1"/>
  <c r="D39" i="8" s="1"/>
  <c r="K9" i="8" l="1"/>
  <c r="K21" i="8" s="1"/>
  <c r="K11" i="8"/>
  <c r="J11" i="8" l="1"/>
  <c r="J13" i="8" s="1"/>
  <c r="J15" i="8" s="1"/>
  <c r="J17" i="8" s="1"/>
  <c r="K13" i="8"/>
  <c r="L7" i="8"/>
  <c r="L9" i="8" s="1"/>
  <c r="L21" i="8" s="1"/>
  <c r="J7" i="8"/>
  <c r="J9" i="8" s="1"/>
  <c r="L11" i="8"/>
  <c r="M9" i="8" l="1"/>
  <c r="M7" i="8"/>
  <c r="K15" i="8"/>
  <c r="L13" i="8"/>
  <c r="L15" i="8" s="1"/>
  <c r="L17" i="8" s="1"/>
  <c r="K17" i="8" l="1"/>
  <c r="J21" i="8" s="1"/>
  <c r="L20" i="8"/>
  <c r="K20" i="8" l="1"/>
  <c r="J20" i="8"/>
  <c r="M20" i="8" l="1"/>
</calcChain>
</file>

<file path=xl/sharedStrings.xml><?xml version="1.0" encoding="utf-8"?>
<sst xmlns="http://schemas.openxmlformats.org/spreadsheetml/2006/main" count="710" uniqueCount="329">
  <si>
    <t>IGST</t>
  </si>
  <si>
    <t>CGST</t>
  </si>
  <si>
    <t>SGST</t>
  </si>
  <si>
    <t>PURCHASE</t>
  </si>
  <si>
    <t>PARTICULARS</t>
  </si>
  <si>
    <t xml:space="preserve">AMOUNT </t>
  </si>
  <si>
    <t>MONTH</t>
  </si>
  <si>
    <t>SALES</t>
  </si>
  <si>
    <t>ITC</t>
  </si>
  <si>
    <t>OUTPUT tax</t>
  </si>
  <si>
    <t>Input</t>
  </si>
  <si>
    <t>Tax to be Paid</t>
  </si>
  <si>
    <t>Invoice Date</t>
  </si>
  <si>
    <t>GST No.</t>
  </si>
  <si>
    <t>Tax rate</t>
  </si>
  <si>
    <t>Invoice Value</t>
  </si>
  <si>
    <t>As per Sheet" Input Invoice"</t>
  </si>
  <si>
    <t>Adjustment: IGST</t>
  </si>
  <si>
    <t>Adjustment: CASH LEDGER</t>
  </si>
  <si>
    <t>ITC IN CASH LEDGER</t>
  </si>
  <si>
    <t>ITC IN Cash Ledger</t>
  </si>
  <si>
    <t>Total Cash ledger</t>
  </si>
  <si>
    <t xml:space="preserve">Adjustment: CGST </t>
  </si>
  <si>
    <t>Adjustment: SGST</t>
  </si>
  <si>
    <t>To be Paid</t>
  </si>
  <si>
    <t>Cash Ledger</t>
  </si>
  <si>
    <t>Utilised in Month</t>
  </si>
  <si>
    <t>Sales</t>
  </si>
  <si>
    <t>Ship To State</t>
  </si>
  <si>
    <t>Sociofy ( Glowroad )</t>
  </si>
  <si>
    <t>LATE FEE</t>
  </si>
  <si>
    <t>Less: Credit Note</t>
  </si>
  <si>
    <t>Invoice Amount</t>
  </si>
  <si>
    <t>Invoice Number</t>
  </si>
  <si>
    <t>Tax Exclusive Gross</t>
  </si>
  <si>
    <t>Cgst Tax</t>
  </si>
  <si>
    <t>Sgst Tax</t>
  </si>
  <si>
    <t>Igst Tax</t>
  </si>
  <si>
    <t>Buyer Name</t>
  </si>
  <si>
    <t>Credit Note No</t>
  </si>
  <si>
    <t>Credit Note Date</t>
  </si>
  <si>
    <t>Flipkart-33AACCF0683K1CZ</t>
  </si>
  <si>
    <t>Sppin India-33ABGCS4054E1CW</t>
  </si>
  <si>
    <t>Amazon-33AAICA3918J1C0</t>
  </si>
  <si>
    <t>Sales- percentage Wise- B2CS</t>
  </si>
  <si>
    <t>TAXABLE VALUE</t>
  </si>
  <si>
    <t>Amazon- I/S</t>
  </si>
  <si>
    <t>Amazon- Local</t>
  </si>
  <si>
    <t>Sales- State Wise</t>
  </si>
  <si>
    <t>TAX RATE</t>
  </si>
  <si>
    <t>Local</t>
  </si>
  <si>
    <t>Interstate</t>
  </si>
  <si>
    <t>Flipkart_I/s</t>
  </si>
  <si>
    <t>Flipkart_Local</t>
  </si>
  <si>
    <t>Meesho_I/s</t>
  </si>
  <si>
    <t>Meesho_Local</t>
  </si>
  <si>
    <t>Sales- percentage Wise- B2B</t>
  </si>
  <si>
    <t>Consolidated</t>
  </si>
  <si>
    <t>AMAZON_B2b</t>
  </si>
  <si>
    <t>Add: Debit Note</t>
  </si>
  <si>
    <t>Merchant_Local</t>
  </si>
  <si>
    <t>Reliance Retail-33AABCR1718E1C7</t>
  </si>
  <si>
    <t>Reliance_I/s</t>
  </si>
  <si>
    <t>Reliance_Local</t>
  </si>
  <si>
    <t>Glowroad_I/s</t>
  </si>
  <si>
    <t>Glowroad_Local</t>
  </si>
  <si>
    <t>Interest</t>
  </si>
  <si>
    <t>TAX PAID</t>
  </si>
  <si>
    <t xml:space="preserve">ROUND OFF </t>
  </si>
  <si>
    <t>Flipkart</t>
  </si>
  <si>
    <t>AJIO_I/s</t>
  </si>
  <si>
    <t>Ajio_local</t>
  </si>
  <si>
    <t>Ajio Report Not updated in TCS Portal</t>
  </si>
  <si>
    <t>Total</t>
  </si>
  <si>
    <t>Difference during the month</t>
  </si>
  <si>
    <t>AJIO</t>
  </si>
  <si>
    <t>Invoice Series From</t>
  </si>
  <si>
    <t>Invoice Series 
To</t>
  </si>
  <si>
    <t>Total Number of Invoices</t>
  </si>
  <si>
    <t>Cancelled if any</t>
  </si>
  <si>
    <t>Net invoices Issued</t>
  </si>
  <si>
    <t>name of the Company</t>
  </si>
  <si>
    <t>Note</t>
  </si>
  <si>
    <t>Meesho -33AARCM9332R1CV</t>
  </si>
  <si>
    <t>Negative Amount not shown in TCS Return</t>
  </si>
  <si>
    <t>MEESHO</t>
  </si>
  <si>
    <t>CREDIT NOTE</t>
  </si>
  <si>
    <t>AMAZON</t>
  </si>
  <si>
    <t>Reconcilation</t>
  </si>
  <si>
    <t>FLIPKART</t>
  </si>
  <si>
    <t>Cash Ledger(October)</t>
  </si>
  <si>
    <t>Round off diff</t>
  </si>
  <si>
    <t>late fees</t>
  </si>
  <si>
    <t>JANUARY</t>
  </si>
  <si>
    <t xml:space="preserve">SSS NOVELTIES Multi Color Cotton Checkered Lungi for Men s  Combo of 2  Size 2 25meters  Lungis </t>
  </si>
  <si>
    <t>SSS Novelties Pure Baby Soft Quick Absorbency Cotton 100 Tc Bath Towels  30 Inches X 60 Inches  White    Pack of 6</t>
  </si>
  <si>
    <t>Bihar</t>
  </si>
  <si>
    <t>Odisha</t>
  </si>
  <si>
    <t>Gujarat</t>
  </si>
  <si>
    <t>Kerala</t>
  </si>
  <si>
    <t>Telangana</t>
  </si>
  <si>
    <t>Haryana</t>
  </si>
  <si>
    <t>Chhattisgarh</t>
  </si>
  <si>
    <t>Tripura</t>
  </si>
  <si>
    <t>Jharkhand</t>
  </si>
  <si>
    <t>Delhi</t>
  </si>
  <si>
    <t>Madhya Pradesh</t>
  </si>
  <si>
    <t>Maharashtra</t>
  </si>
  <si>
    <t>Goa</t>
  </si>
  <si>
    <t>Dadra and Nagar Haveli</t>
  </si>
  <si>
    <t>Meghalaya</t>
  </si>
  <si>
    <t>Andhra Pradesh</t>
  </si>
  <si>
    <t>Karnataka</t>
  </si>
  <si>
    <t>Pondicherry</t>
  </si>
  <si>
    <t>Rajasthan</t>
  </si>
  <si>
    <t>Uttar Pradesh</t>
  </si>
  <si>
    <t>Assam</t>
  </si>
  <si>
    <t>West Bengal</t>
  </si>
  <si>
    <t xml:space="preserve">ANDHRA PRADESH  </t>
  </si>
  <si>
    <t xml:space="preserve">ASSAM  </t>
  </si>
  <si>
    <t xml:space="preserve">BIHAR  </t>
  </si>
  <si>
    <t xml:space="preserve">CHHATTISGARH  </t>
  </si>
  <si>
    <t xml:space="preserve">DELHI  </t>
  </si>
  <si>
    <t xml:space="preserve">GUJARAT  </t>
  </si>
  <si>
    <t xml:space="preserve">HARYANA  </t>
  </si>
  <si>
    <t xml:space="preserve">JHARKHAND  </t>
  </si>
  <si>
    <t xml:space="preserve">KARNATAKA  </t>
  </si>
  <si>
    <t xml:space="preserve">KERALA  </t>
  </si>
  <si>
    <t xml:space="preserve">MADHYA PRADESH  </t>
  </si>
  <si>
    <t xml:space="preserve">MAHARASHTRA  </t>
  </si>
  <si>
    <t xml:space="preserve">ODISHA  </t>
  </si>
  <si>
    <t xml:space="preserve">PUDUCHERRY  </t>
  </si>
  <si>
    <t xml:space="preserve">RAJASTHAN  </t>
  </si>
  <si>
    <t xml:space="preserve">TAMIL NADU  </t>
  </si>
  <si>
    <t xml:space="preserve">TELANGANA  </t>
  </si>
  <si>
    <t xml:space="preserve">UTTAR PRADESH  </t>
  </si>
  <si>
    <t xml:space="preserve">UTTARAKHAND  </t>
  </si>
  <si>
    <t xml:space="preserve">WEST BENGAL  </t>
  </si>
  <si>
    <t xml:space="preserve">ANDAMAN &amp; NICOBAR ISLANDS  </t>
  </si>
  <si>
    <t xml:space="preserve">ARUNACHAL PRADESH  </t>
  </si>
  <si>
    <t xml:space="preserve">CHATTISGARH  </t>
  </si>
  <si>
    <t xml:space="preserve">GOA  </t>
  </si>
  <si>
    <t xml:space="preserve">HIMACHAL PRADESH  </t>
  </si>
  <si>
    <t xml:space="preserve">JAMMU AND KASHMIR  </t>
  </si>
  <si>
    <t xml:space="preserve">MEGHALAYA  </t>
  </si>
  <si>
    <t xml:space="preserve">PONDICHERRY  </t>
  </si>
  <si>
    <t xml:space="preserve">PUNJAB  </t>
  </si>
  <si>
    <t xml:space="preserve">TRIPURA  </t>
  </si>
  <si>
    <t xml:space="preserve">Andhra Pradesh  </t>
  </si>
  <si>
    <t xml:space="preserve">Assam  </t>
  </si>
  <si>
    <t xml:space="preserve">Bihar  </t>
  </si>
  <si>
    <t xml:space="preserve">Delhi  </t>
  </si>
  <si>
    <t xml:space="preserve">Goa  </t>
  </si>
  <si>
    <t xml:space="preserve">Gujarat  </t>
  </si>
  <si>
    <t xml:space="preserve">Haryana  </t>
  </si>
  <si>
    <t xml:space="preserve">Jharkhand  </t>
  </si>
  <si>
    <t xml:space="preserve">Karnataka  </t>
  </si>
  <si>
    <t xml:space="preserve">Kerala  </t>
  </si>
  <si>
    <t xml:space="preserve">Madhya Pradesh  </t>
  </si>
  <si>
    <t xml:space="preserve">Maharashtra  </t>
  </si>
  <si>
    <t xml:space="preserve">Meghalaya  </t>
  </si>
  <si>
    <t xml:space="preserve">Odisha  </t>
  </si>
  <si>
    <t xml:space="preserve">Rajasthan  </t>
  </si>
  <si>
    <t xml:space="preserve">TAMIL NADU    </t>
  </si>
  <si>
    <t xml:space="preserve">Telangana  </t>
  </si>
  <si>
    <t xml:space="preserve">Tripura  </t>
  </si>
  <si>
    <t xml:space="preserve">Uttar Pradesh  </t>
  </si>
  <si>
    <t xml:space="preserve">West Bengal  </t>
  </si>
  <si>
    <t>………………..</t>
  </si>
  <si>
    <t>B2B</t>
  </si>
  <si>
    <t>Amazon</t>
  </si>
  <si>
    <t>igst</t>
  </si>
  <si>
    <t>cgst</t>
  </si>
  <si>
    <t>sgst</t>
  </si>
  <si>
    <t>B2CS</t>
  </si>
  <si>
    <t>Sikkim</t>
  </si>
  <si>
    <t>end_customer_state_new</t>
  </si>
  <si>
    <t xml:space="preserve"> _taxable_sale_value</t>
  </si>
  <si>
    <t xml:space="preserve">DADRA &amp; NAGAR HAVELI AND DAMAN &amp; DIU  </t>
  </si>
  <si>
    <t xml:space="preserve">MIZORAM  </t>
  </si>
  <si>
    <t xml:space="preserve">PUNJAB    </t>
  </si>
  <si>
    <t xml:space="preserve">Sikkim  </t>
  </si>
  <si>
    <t>IN-997</t>
  </si>
  <si>
    <t>IN-1159</t>
  </si>
  <si>
    <t>IN-1213</t>
  </si>
  <si>
    <t>IN-1240</t>
  </si>
  <si>
    <t>IN-1274</t>
  </si>
  <si>
    <t>EXOTIC CIRCLE</t>
  </si>
  <si>
    <t>INFONET COMM ENTERPRISES PRIVATE LIMITED</t>
  </si>
  <si>
    <t>M s MALHAR MEDICAL AND GENERAL STORE</t>
  </si>
  <si>
    <t>ALISHAN INTERIORS</t>
  </si>
  <si>
    <t>SEJAL AYURVEDA</t>
  </si>
  <si>
    <t>27ALCPB4119N1Z6</t>
  </si>
  <si>
    <t>33AACCM8749D1ZH</t>
  </si>
  <si>
    <t>27APDPG5785L1ZE</t>
  </si>
  <si>
    <t>07AEWPA4413K1ZD</t>
  </si>
  <si>
    <t>23BPRPP6657M1ZZ</t>
  </si>
  <si>
    <t>CN-116</t>
  </si>
  <si>
    <t>CN-138</t>
  </si>
  <si>
    <t>IN-983</t>
  </si>
  <si>
    <t>IN-1301</t>
  </si>
  <si>
    <t>b2b</t>
  </si>
  <si>
    <t>hsn</t>
  </si>
  <si>
    <t>qty</t>
  </si>
  <si>
    <t>taxable value</t>
  </si>
  <si>
    <t>sgast</t>
  </si>
  <si>
    <t>taxable vlaue</t>
  </si>
  <si>
    <t>Uttarakhand</t>
  </si>
  <si>
    <t>Mizoram</t>
  </si>
  <si>
    <t>LWABM4B270001703</t>
  </si>
  <si>
    <t>LWABM4B270002367</t>
  </si>
  <si>
    <t>52083210</t>
  </si>
  <si>
    <t>MEESHO/AUG/0001</t>
  </si>
  <si>
    <t>MEESHO/AUG/2132</t>
  </si>
  <si>
    <t xml:space="preserve">LAKSHADWEEP  </t>
  </si>
  <si>
    <t xml:space="preserve">Andaman and Nicobar Islands  </t>
  </si>
  <si>
    <t xml:space="preserve">CHANDIGARH  </t>
  </si>
  <si>
    <t xml:space="preserve">Chhattisgarh  </t>
  </si>
  <si>
    <t xml:space="preserve">Dadra &amp; Nagar Haveli &amp; Daman &amp; Diu  </t>
  </si>
  <si>
    <t xml:space="preserve">Jammu &amp; Kashmir  </t>
  </si>
  <si>
    <t xml:space="preserve">MANIPUR  </t>
  </si>
  <si>
    <t xml:space="preserve">Puducherry  </t>
  </si>
  <si>
    <t xml:space="preserve">SIKKIM  </t>
  </si>
  <si>
    <t xml:space="preserve"> Andaman and Nicobar Islands     </t>
  </si>
  <si>
    <t xml:space="preserve"> ARUNACHAL PRADESH     </t>
  </si>
  <si>
    <t xml:space="preserve"> CHANDIGARH     </t>
  </si>
  <si>
    <t xml:space="preserve"> CHATTISGARH     </t>
  </si>
  <si>
    <t xml:space="preserve"> Dadra &amp; Nagar Haveli &amp; Daman &amp; Diu     </t>
  </si>
  <si>
    <t xml:space="preserve">HIMACHAL PRADESH    </t>
  </si>
  <si>
    <t xml:space="preserve"> JAMMU AND KASHMIR     </t>
  </si>
  <si>
    <t xml:space="preserve">LAKSHADWEEP    </t>
  </si>
  <si>
    <t xml:space="preserve"> MANIPUR     </t>
  </si>
  <si>
    <t xml:space="preserve">Mizoram  </t>
  </si>
  <si>
    <t xml:space="preserve"> Puducherry     </t>
  </si>
  <si>
    <t xml:space="preserve">Uttarakhand  </t>
  </si>
  <si>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</si>
  <si>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</si>
  <si>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</si>
  <si>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</si>
  <si>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</si>
  <si>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</si>
  <si>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</si>
  <si>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</si>
  <si>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</si>
  <si>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</si>
  <si>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</si>
  <si>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</si>
  <si>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</si>
  <si>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</si>
  <si>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</si>
  <si>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</si>
  <si>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</si>
  <si>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</si>
  <si>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</si>
  <si>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Value(₹)</t>
  </si>
  <si>
    <t>Integrated Tax(₹)</t>
  </si>
  <si>
    <t>Central Tax(₹)</t>
  </si>
  <si>
    <t>State/UT Tax(₹)</t>
  </si>
  <si>
    <t>Cess(₹)</t>
  </si>
  <si>
    <t>29AARCM9332R1Z9</t>
  </si>
  <si>
    <t>Meesho Technologies Private Limited</t>
  </si>
  <si>
    <t>MTI/0826/851986</t>
  </si>
  <si>
    <t>Regular</t>
  </si>
  <si>
    <t>31/08/2026</t>
  </si>
  <si>
    <t>Tamil Nadu</t>
  </si>
  <si>
    <t>No</t>
  </si>
  <si>
    <t>Aug'26</t>
  </si>
  <si>
    <t>11/09/2026</t>
  </si>
  <si>
    <t>Yes</t>
  </si>
  <si>
    <t/>
  </si>
  <si>
    <t>100%</t>
  </si>
  <si>
    <t>33AJXPR7758N1ZX</t>
  </si>
  <si>
    <t>M.R.TEX</t>
  </si>
  <si>
    <t>149</t>
  </si>
  <si>
    <t>15/08/2026</t>
  </si>
  <si>
    <t>33AALHS5608H1Z0</t>
  </si>
  <si>
    <t>SIVAMANIHUF SRI SIVAMANI TEXTILES</t>
  </si>
  <si>
    <t>59</t>
  </si>
  <si>
    <t>24/08/2026</t>
  </si>
  <si>
    <t>08/09/2026</t>
  </si>
  <si>
    <t>29AAICA3918J1ZE</t>
  </si>
  <si>
    <t>AMAZON SELLER SERVICES PVT LTD</t>
  </si>
  <si>
    <t>26-WMM-396239</t>
  </si>
  <si>
    <t>19/08/2026</t>
  </si>
  <si>
    <t>ADS-2627-373314</t>
  </si>
  <si>
    <t>KA-2627-1658301</t>
  </si>
  <si>
    <t>KA-2627-1687502</t>
  </si>
  <si>
    <t>29AALCV8310J1ZU</t>
  </si>
  <si>
    <t>VALMO TRANSPORTATION PRIVATE LIMITED</t>
  </si>
  <si>
    <t>VTI/0826/637850</t>
  </si>
  <si>
    <t>33BEKPM1129P1Z8</t>
  </si>
  <si>
    <t>S.   MALATHI   PROP  B. T. C. FABRICS</t>
  </si>
  <si>
    <t>742</t>
  </si>
  <si>
    <t>12/08/2026</t>
  </si>
  <si>
    <t>29AACCF0683K1ZD</t>
  </si>
  <si>
    <t>FLIPKART INTERNET PRIVATE LIMITED</t>
  </si>
  <si>
    <t>FKRKA27001094387</t>
  </si>
  <si>
    <t>10/09/2026</t>
  </si>
  <si>
    <t>33AHXPS4897D1ZK</t>
  </si>
  <si>
    <t>SUBRAMANI TEXTILES</t>
  </si>
  <si>
    <t>1014</t>
  </si>
  <si>
    <t>29/08/2026</t>
  </si>
  <si>
    <t>05/09/2026</t>
  </si>
  <si>
    <t>863</t>
  </si>
  <si>
    <t>14/08/2026</t>
  </si>
  <si>
    <t>928</t>
  </si>
  <si>
    <t>22/08/2026</t>
  </si>
  <si>
    <t>931</t>
  </si>
  <si>
    <t>29AACCF6368D1ZI</t>
  </si>
  <si>
    <t>MEESHO LIMITED</t>
  </si>
  <si>
    <t>MLI/0826/1060791</t>
  </si>
  <si>
    <t>Debit/Credit notes (Original)</t>
  </si>
  <si>
    <t>Credit note/Debit note details</t>
  </si>
  <si>
    <t>Whether ITC to be reduced (Taxpayer's Input)</t>
  </si>
  <si>
    <t>Amount declared by taxpayer for ITC reduction</t>
  </si>
  <si>
    <t>Remarks</t>
  </si>
  <si>
    <t>GSTR-1/IFF/1A/GSTR-5 Period</t>
  </si>
  <si>
    <t>GSTR-1/IFF/1A/GSTR-5 Filing Date</t>
  </si>
  <si>
    <t>Note number</t>
  </si>
  <si>
    <t>Note type</t>
  </si>
  <si>
    <t>Note Supply type</t>
  </si>
  <si>
    <t>Note date</t>
  </si>
  <si>
    <t>Note Value (₹)</t>
  </si>
  <si>
    <t>KA-C-27-1133706</t>
  </si>
  <si>
    <t>Credit Note</t>
  </si>
  <si>
    <t>NA</t>
  </si>
  <si>
    <t>No remarks available</t>
  </si>
  <si>
    <t>KA-C-27-1133709</t>
  </si>
  <si>
    <t>FKCKA27000561745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</si>
</sst>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212121"/>
      <name val="Verdana"/>
      <family val="2"/>
    </font>
    <font>
      <sz val="12"/>
      <color indexed="8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u/>
      <sz val="11"/>
      <color theme="1"/>
      <name val="Verdana"/>
      <family val="2"/>
    </font>
    <font>
      <sz val="11"/>
      <color rgb="FFFF0000"/>
      <name val="Verdana"/>
      <family val="2"/>
    </font>
    <font>
      <b/>
      <sz val="11"/>
      <color rgb="FF212121"/>
      <name val="Verdana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u/>
      <sz val="11"/>
      <color theme="1"/>
      <name val="Calibri Light"/>
      <family val="2"/>
    </font>
    <font>
      <sz val="10"/>
      <color theme="1"/>
      <name val="Verdana"/>
      <family val="2"/>
    </font>
    <font>
      <b/>
      <u/>
      <sz val="10"/>
      <color theme="1"/>
      <name val="Verdana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2"/>
      <color indexed="8"/>
      <name val="Calibri Light"/>
      <family val="2"/>
    </font>
    <font>
      <u/>
      <sz val="11"/>
      <color theme="1"/>
      <name val="Verdana"/>
      <family val="2"/>
    </font>
    <font>
      <b/>
      <sz val="11"/>
      <color indexed="8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>
      <alignment vertical="top"/>
    </xf>
    <xf numFmtId="0" fontId="5" fillId="0" borderId="0"/>
    <xf numFmtId="0" fontId="5" fillId="0" borderId="0" applyNumberFormat="0" applyFont="0" applyFill="0" applyBorder="0" applyAlignment="0" applyProtection="0">
      <alignment vertical="top"/>
    </xf>
    <xf numFmtId="0" fontId="7" fillId="0" borderId="0" applyNumberFormat="0" applyFill="0" applyBorder="0" applyProtection="0">
      <alignment vertical="top" wrapText="1"/>
    </xf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18" fillId="0" borderId="0"/>
    <xf numFmtId="0" fontId="7" fillId="0" borderId="0" applyNumberFormat="0" applyFill="0" applyBorder="0" applyProtection="0">
      <alignment vertical="top" wrapText="1"/>
    </xf>
    <xf numFmtId="0" fontId="19" fillId="0" borderId="0"/>
    <xf numFmtId="0" fontId="7" fillId="0" borderId="0" applyNumberFormat="0" applyFill="0" applyBorder="0" applyProtection="0">
      <alignment vertical="top" wrapText="1"/>
    </xf>
    <xf numFmtId="0" fontId="7" fillId="0" borderId="0" applyNumberFormat="0" applyFill="0" applyBorder="0" applyProtection="0">
      <alignment vertical="top" wrapText="1"/>
    </xf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Fill="1"/>
    <xf numFmtId="43" fontId="2" fillId="0" borderId="1" xfId="1" applyFont="1" applyBorder="1"/>
    <xf numFmtId="0" fontId="3" fillId="0" borderId="0" xfId="0" applyFont="1"/>
    <xf numFmtId="0" fontId="0" fillId="0" borderId="0" xfId="0"/>
    <xf numFmtId="0" fontId="2" fillId="0" borderId="1" xfId="0" applyFont="1" applyBorder="1"/>
    <xf numFmtId="0" fontId="3" fillId="3" borderId="0" xfId="0" applyFont="1" applyFill="1"/>
    <xf numFmtId="0" fontId="0" fillId="3" borderId="0" xfId="0" applyFill="1"/>
    <xf numFmtId="0" fontId="2" fillId="0" borderId="1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1" applyFont="1" applyFill="1" applyBorder="1"/>
    <xf numFmtId="43" fontId="0" fillId="0" borderId="0" xfId="1" applyFont="1" applyBorder="1"/>
    <xf numFmtId="43" fontId="2" fillId="0" borderId="1" xfId="1" applyFont="1" applyFill="1" applyBorder="1"/>
    <xf numFmtId="0" fontId="3" fillId="3" borderId="0" xfId="0" applyFont="1" applyFill="1" applyAlignment="1">
      <alignment horizontal="left"/>
    </xf>
    <xf numFmtId="0" fontId="0" fillId="0" borderId="0" xfId="0" applyAlignment="1">
      <alignment wrapText="1"/>
    </xf>
    <xf numFmtId="43" fontId="0" fillId="3" borderId="0" xfId="1" applyFont="1" applyFill="1" applyBorder="1"/>
    <xf numFmtId="43" fontId="0" fillId="3" borderId="0" xfId="1" applyFont="1" applyFill="1"/>
    <xf numFmtId="43" fontId="2" fillId="0" borderId="1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0" fillId="0" borderId="5" xfId="1" applyFont="1" applyBorder="1"/>
    <xf numFmtId="164" fontId="0" fillId="0" borderId="0" xfId="0" applyNumberFormat="1"/>
    <xf numFmtId="0" fontId="0" fillId="0" borderId="0" xfId="0"/>
    <xf numFmtId="0" fontId="2" fillId="0" borderId="0" xfId="0" applyFont="1" applyBorder="1"/>
    <xf numFmtId="43" fontId="2" fillId="0" borderId="0" xfId="1" applyFont="1" applyBorder="1"/>
    <xf numFmtId="0" fontId="2" fillId="0" borderId="0" xfId="0" applyFont="1" applyBorder="1" applyAlignment="1">
      <alignment horizontal="center"/>
    </xf>
    <xf numFmtId="0" fontId="0" fillId="0" borderId="0" xfId="0"/>
    <xf numFmtId="4" fontId="6" fillId="0" borderId="0" xfId="0" applyNumberFormat="1" applyFont="1"/>
    <xf numFmtId="0" fontId="6" fillId="0" borderId="0" xfId="0" applyFont="1"/>
    <xf numFmtId="0" fontId="0" fillId="0" borderId="0" xfId="0"/>
    <xf numFmtId="0" fontId="8" fillId="0" borderId="0" xfId="0" applyFont="1"/>
    <xf numFmtId="0" fontId="9" fillId="0" borderId="0" xfId="0" applyFont="1"/>
    <xf numFmtId="0" fontId="9" fillId="2" borderId="1" xfId="0" applyFont="1" applyFill="1" applyBorder="1" applyAlignment="1">
      <alignment horizontal="center"/>
    </xf>
    <xf numFmtId="43" fontId="8" fillId="0" borderId="0" xfId="1" applyFont="1"/>
    <xf numFmtId="164" fontId="8" fillId="0" borderId="0" xfId="4" applyFont="1"/>
    <xf numFmtId="0" fontId="8" fillId="0" borderId="0" xfId="0" applyFont="1" applyFill="1"/>
    <xf numFmtId="43" fontId="8" fillId="0" borderId="3" xfId="1" applyFont="1" applyBorder="1"/>
    <xf numFmtId="43" fontId="8" fillId="0" borderId="0" xfId="0" applyNumberFormat="1" applyFont="1"/>
    <xf numFmtId="43" fontId="8" fillId="0" borderId="0" xfId="1" applyFont="1" applyFill="1"/>
    <xf numFmtId="43" fontId="8" fillId="0" borderId="0" xfId="1" applyFont="1" applyBorder="1"/>
    <xf numFmtId="43" fontId="8" fillId="0" borderId="1" xfId="1" applyFont="1" applyBorder="1"/>
    <xf numFmtId="43" fontId="8" fillId="0" borderId="2" xfId="1" applyFont="1" applyBorder="1"/>
    <xf numFmtId="164" fontId="8" fillId="0" borderId="0" xfId="0" applyNumberFormat="1" applyFont="1"/>
    <xf numFmtId="0" fontId="9" fillId="2" borderId="0" xfId="0" applyFont="1" applyFill="1" applyBorder="1" applyAlignment="1">
      <alignment horizontal="center"/>
    </xf>
    <xf numFmtId="0" fontId="8" fillId="0" borderId="0" xfId="0" applyFont="1" applyBorder="1"/>
    <xf numFmtId="43" fontId="8" fillId="0" borderId="4" xfId="1" applyFont="1" applyBorder="1"/>
    <xf numFmtId="43" fontId="6" fillId="0" borderId="0" xfId="1" applyFont="1"/>
    <xf numFmtId="0" fontId="9" fillId="0" borderId="0" xfId="0" applyFont="1" applyAlignment="1">
      <alignment horizontal="center"/>
    </xf>
    <xf numFmtId="43" fontId="9" fillId="0" borderId="0" xfId="0" applyNumberFormat="1" applyFont="1"/>
    <xf numFmtId="164" fontId="9" fillId="3" borderId="0" xfId="0" applyNumberFormat="1" applyFont="1" applyFill="1"/>
    <xf numFmtId="0" fontId="10" fillId="0" borderId="0" xfId="0" applyFont="1"/>
    <xf numFmtId="0" fontId="8" fillId="0" borderId="0" xfId="0" applyFont="1" applyFill="1" applyBorder="1"/>
    <xf numFmtId="164" fontId="8" fillId="3" borderId="1" xfId="0" applyNumberFormat="1" applyFont="1" applyFill="1" applyBorder="1"/>
    <xf numFmtId="0" fontId="11" fillId="0" borderId="0" xfId="0" applyFont="1" applyFill="1"/>
    <xf numFmtId="43" fontId="12" fillId="0" borderId="1" xfId="1" applyFont="1" applyBorder="1"/>
    <xf numFmtId="164" fontId="9" fillId="0" borderId="0" xfId="0" applyNumberFormat="1" applyFont="1"/>
    <xf numFmtId="43" fontId="9" fillId="0" borderId="0" xfId="1" applyFont="1" applyFill="1"/>
    <xf numFmtId="0" fontId="9" fillId="0" borderId="0" xfId="0" applyFont="1" applyFill="1"/>
    <xf numFmtId="43" fontId="6" fillId="0" borderId="0" xfId="1" applyFont="1" applyFill="1"/>
    <xf numFmtId="43" fontId="6" fillId="0" borderId="0" xfId="1" quotePrefix="1" applyFont="1" applyFill="1"/>
    <xf numFmtId="43" fontId="6" fillId="0" borderId="0" xfId="1" quotePrefix="1" applyFont="1"/>
    <xf numFmtId="4" fontId="6" fillId="0" borderId="0" xfId="0" applyNumberFormat="1" applyFont="1" applyFill="1"/>
    <xf numFmtId="164" fontId="6" fillId="0" borderId="0" xfId="0" applyNumberFormat="1" applyFont="1"/>
    <xf numFmtId="43" fontId="13" fillId="0" borderId="0" xfId="1" applyFont="1"/>
    <xf numFmtId="0" fontId="14" fillId="0" borderId="0" xfId="0" applyFont="1"/>
    <xf numFmtId="0" fontId="13" fillId="0" borderId="0" xfId="0" applyFont="1"/>
    <xf numFmtId="0" fontId="13" fillId="0" borderId="0" xfId="0" applyFont="1" applyFill="1"/>
    <xf numFmtId="0" fontId="13" fillId="0" borderId="0" xfId="0" applyFont="1" applyFill="1" applyBorder="1"/>
    <xf numFmtId="14" fontId="13" fillId="0" borderId="0" xfId="0" applyNumberFormat="1" applyFont="1"/>
    <xf numFmtId="43" fontId="13" fillId="0" borderId="0" xfId="1" applyFont="1" applyAlignment="1">
      <alignment horizontal="center"/>
    </xf>
    <xf numFmtId="164" fontId="14" fillId="0" borderId="0" xfId="4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14" fontId="14" fillId="0" borderId="0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164" fontId="14" fillId="0" borderId="0" xfId="4" applyFont="1" applyFill="1" applyBorder="1" applyAlignment="1">
      <alignment horizontal="center"/>
    </xf>
    <xf numFmtId="0" fontId="15" fillId="0" borderId="0" xfId="0" applyFont="1"/>
    <xf numFmtId="0" fontId="13" fillId="0" borderId="0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center" vertical="center" wrapText="1"/>
    </xf>
    <xf numFmtId="14" fontId="14" fillId="3" borderId="4" xfId="0" applyNumberFormat="1" applyFont="1" applyFill="1" applyBorder="1" applyAlignment="1">
      <alignment horizontal="center" vertical="center" wrapText="1"/>
    </xf>
    <xf numFmtId="164" fontId="14" fillId="3" borderId="4" xfId="4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0" applyFont="1"/>
    <xf numFmtId="43" fontId="16" fillId="0" borderId="0" xfId="1" applyFont="1"/>
    <xf numFmtId="0" fontId="17" fillId="0" borderId="0" xfId="0" applyFont="1"/>
    <xf numFmtId="0" fontId="16" fillId="0" borderId="1" xfId="0" applyFont="1" applyBorder="1"/>
    <xf numFmtId="43" fontId="16" fillId="0" borderId="1" xfId="1" applyFont="1" applyBorder="1"/>
    <xf numFmtId="0" fontId="8" fillId="0" borderId="1" xfId="0" applyFont="1" applyBorder="1"/>
    <xf numFmtId="0" fontId="14" fillId="0" borderId="5" xfId="0" applyFont="1" applyBorder="1" applyAlignment="1">
      <alignment horizontal="left" vertical="center" wrapText="1"/>
    </xf>
    <xf numFmtId="0" fontId="20" fillId="0" borderId="5" xfId="26" applyNumberFormat="1" applyFont="1" applyFill="1" applyBorder="1" applyAlignment="1">
      <alignment horizontal="center" vertical="center" wrapText="1"/>
    </xf>
    <xf numFmtId="43" fontId="14" fillId="3" borderId="4" xfId="1" applyFont="1" applyFill="1" applyBorder="1" applyAlignment="1">
      <alignment horizontal="center" vertical="center" wrapText="1"/>
    </xf>
    <xf numFmtId="43" fontId="14" fillId="0" borderId="0" xfId="1" applyFont="1" applyFill="1" applyBorder="1" applyAlignment="1">
      <alignment horizontal="left"/>
    </xf>
    <xf numFmtId="0" fontId="14" fillId="0" borderId="0" xfId="0" applyFont="1" applyFill="1" applyBorder="1"/>
    <xf numFmtId="0" fontId="0" fillId="0" borderId="0" xfId="0" applyFont="1" applyAlignment="1">
      <alignment vertical="top" wrapText="1"/>
    </xf>
    <xf numFmtId="14" fontId="13" fillId="0" borderId="0" xfId="0" applyNumberFormat="1" applyFont="1" applyFill="1" applyBorder="1" applyAlignment="1">
      <alignment horizontal="left"/>
    </xf>
    <xf numFmtId="0" fontId="16" fillId="0" borderId="0" xfId="0" applyFont="1" applyBorder="1"/>
    <xf numFmtId="43" fontId="16" fillId="0" borderId="0" xfId="1" applyFont="1" applyBorder="1"/>
    <xf numFmtId="0" fontId="17" fillId="0" borderId="0" xfId="0" applyFont="1" applyBorder="1"/>
    <xf numFmtId="0" fontId="21" fillId="0" borderId="0" xfId="0" applyFont="1"/>
    <xf numFmtId="43" fontId="2" fillId="0" borderId="0" xfId="1" applyFont="1" applyFill="1" applyBorder="1"/>
    <xf numFmtId="164" fontId="8" fillId="3" borderId="0" xfId="0" applyNumberFormat="1" applyFont="1" applyFill="1"/>
    <xf numFmtId="22" fontId="0" fillId="0" borderId="0" xfId="0" applyNumberFormat="1"/>
    <xf numFmtId="43" fontId="2" fillId="0" borderId="0" xfId="1" applyFont="1"/>
    <xf numFmtId="43" fontId="0" fillId="0" borderId="0" xfId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164" fontId="14" fillId="3" borderId="1" xfId="1" applyNumberFormat="1" applyFont="1" applyFill="1" applyBorder="1"/>
    <xf numFmtId="49" fontId="0" fillId="0" borderId="0" xfId="0" applyNumberFormat="1"/>
    <xf numFmtId="0" fontId="0" fillId="0" borderId="0" xfId="0"/>
    <xf numFmtId="43" fontId="0" fillId="0" borderId="0" xfId="1" applyFont="1"/>
    <xf numFmtId="43" fontId="0" fillId="3" borderId="1" xfId="1" applyFont="1" applyFill="1" applyBorder="1"/>
    <xf numFmtId="43" fontId="0" fillId="0" borderId="0" xfId="0" applyNumberFormat="1"/>
    <xf numFmtId="164" fontId="8" fillId="0" borderId="1" xfId="0" applyNumberFormat="1" applyFont="1" applyBorder="1"/>
    <xf numFmtId="14" fontId="0" fillId="0" borderId="0" xfId="0" applyNumberFormat="1"/>
    <xf numFmtId="0" fontId="0" fillId="0" borderId="0" xfId="0" applyFill="1"/>
    <xf numFmtId="43" fontId="0" fillId="0" borderId="0" xfId="0" applyNumberFormat="1" applyFill="1"/>
    <xf numFmtId="0" fontId="2" fillId="0" borderId="0" xfId="0" applyFont="1" applyAlignment="1">
      <alignment vertical="top" wrapText="1"/>
    </xf>
    <xf numFmtId="0" fontId="2" fillId="3" borderId="0" xfId="0" applyFont="1" applyFill="1"/>
    <xf numFmtId="43" fontId="2" fillId="4" borderId="0" xfId="1" applyFont="1" applyFill="1"/>
    <xf numFmtId="0" fontId="22" fillId="0" borderId="0" xfId="0" applyNumberFormat="1" applyFont="1"/>
    <xf numFmtId="0" fontId="13" fillId="0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 wrapText="1"/>
    </xf>
    <xf numFmtId="0" fontId="2" fillId="0" borderId="0" xfId="0" applyNumberFormat="1" applyFont="1" applyAlignment="1">
      <alignment vertical="top" wrapText="1"/>
    </xf>
    <xf numFmtId="0" fontId="7" fillId="0" borderId="5" xfId="0" applyNumberFormat="1" applyFont="1" applyBorder="1" applyAlignment="1">
      <alignment vertical="top" wrapText="1"/>
    </xf>
    <xf numFmtId="43" fontId="22" fillId="0" borderId="0" xfId="1" applyFont="1"/>
    <xf numFmtId="0" fontId="22" fillId="0" borderId="0" xfId="1" applyNumberFormat="1" applyFont="1"/>
    <xf numFmtId="43" fontId="0" fillId="3" borderId="1" xfId="0" applyNumberFormat="1" applyFill="1" applyBorder="1"/>
    <xf numFmtId="49" fontId="22" fillId="0" borderId="0" xfId="0" applyNumberFormat="1" applyFont="1"/>
    <xf numFmtId="0" fontId="23" fillId="5" borderId="5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top" wrapText="1"/>
    </xf>
    <xf numFmtId="0" fontId="25" fillId="5" borderId="5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/>
    </xf>
    <xf numFmtId="2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center"/>
    </xf>
    <xf numFmtId="43" fontId="23" fillId="5" borderId="5" xfId="1" applyFont="1" applyFill="1" applyBorder="1" applyAlignment="1">
      <alignment horizontal="center" vertical="center" wrapText="1"/>
    </xf>
    <xf numFmtId="43" fontId="24" fillId="6" borderId="5" xfId="1" applyFont="1" applyFill="1" applyBorder="1" applyAlignment="1">
      <alignment horizontal="center" vertical="top" wrapText="1"/>
    </xf>
    <xf numFmtId="43" fontId="25" fillId="5" borderId="5" xfId="1" applyFont="1" applyFill="1" applyBorder="1" applyAlignment="1">
      <alignment horizontal="center" vertical="center" wrapText="1"/>
    </xf>
    <xf numFmtId="43" fontId="25" fillId="5" borderId="5" xfId="1" applyFont="1" applyFill="1" applyBorder="1" applyAlignment="1">
      <alignment horizontal="center" vertical="center" wrapText="1"/>
    </xf>
    <xf numFmtId="43" fontId="26" fillId="0" borderId="0" xfId="1" applyFont="1" applyAlignment="1">
      <alignment horizontal="left"/>
    </xf>
    <xf numFmtId="43" fontId="26" fillId="0" borderId="0" xfId="1" applyFont="1" applyAlignment="1">
      <alignment horizontal="right"/>
    </xf>
    <xf numFmtId="43" fontId="26" fillId="0" borderId="0" xfId="1" applyFont="1" applyAlignment="1">
      <alignment horizontal="center"/>
    </xf>
    <xf numFmtId="43" fontId="26" fillId="0" borderId="0" xfId="1" applyFont="1" applyAlignment="1">
      <alignment wrapText="1"/>
    </xf>
    <xf numFmtId="0" fontId="27" fillId="5" borderId="5" xfId="0" applyFont="1" applyFill="1" applyBorder="1" applyAlignment="1">
      <alignment horizontal="center" vertical="center" wrapText="1"/>
    </xf>
    <xf numFmtId="2" fontId="0" fillId="3" borderId="1" xfId="0" applyNumberFormat="1" applyFill="1" applyBorder="1"/>
  </cellXfs>
  <cellStyles count="27">
    <cellStyle name="Comma" xfId="1" builtinId="3"/>
    <cellStyle name="Comma 2" xfId="2"/>
    <cellStyle name="Comma 3" xfId="4"/>
    <cellStyle name="Comma 3 2" xfId="14"/>
    <cellStyle name="Normal" xfId="0" builtinId="0"/>
    <cellStyle name="Normal 11" xfId="22"/>
    <cellStyle name="Normal 12" xfId="6"/>
    <cellStyle name="Normal 12 2" xfId="15"/>
    <cellStyle name="Normal 14" xfId="23"/>
    <cellStyle name="Normal 17" xfId="25"/>
    <cellStyle name="Normal 18" xfId="26"/>
    <cellStyle name="Normal 19" xfId="24"/>
    <cellStyle name="Normal 2" xfId="7"/>
    <cellStyle name="Normal 2 2" xfId="8"/>
    <cellStyle name="Normal 2 2 2" xfId="17"/>
    <cellStyle name="Normal 2 3" xfId="16"/>
    <cellStyle name="Normal 3" xfId="9"/>
    <cellStyle name="Normal 3 2" xfId="18"/>
    <cellStyle name="Normal 4" xfId="10"/>
    <cellStyle name="Normal 4 2" xfId="19"/>
    <cellStyle name="Normal 5" xfId="11"/>
    <cellStyle name="Normal 5 2" xfId="20"/>
    <cellStyle name="Normal 6" xfId="12"/>
    <cellStyle name="Normal 6 2" xfId="21"/>
    <cellStyle name="Normal 7" xfId="3"/>
    <cellStyle name="Normal 8" xfId="5"/>
    <cellStyle name="Normal 9" xfId="13"/>
  </cellStyles>
  <dxfs count="0"/>
  <tableStyles count="0" defaultTableStyle="TableStyleMedium2" defaultPivotStyle="PivotStyleLight16"/>
  <colors>
    <mruColors>
      <color rgb="FFFFFFFF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0\Winman_Data\Tax%20Data\GstData\GSTR_Excels\2021-2022\July\LITTLE%20BEE_GSTR%201_B2C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2CS others"/>
      <sheetName val="B2CS e-com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INTER"/>
      <sheetName val="Enable Macros"/>
      <sheetName val="He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">
          <cell r="A8" t="str">
            <v>Andaman &amp; Nicobar Islands</v>
          </cell>
        </row>
        <row r="9">
          <cell r="A9" t="str">
            <v>Andhra Pradesh</v>
          </cell>
        </row>
        <row r="10">
          <cell r="A10" t="str">
            <v>Arunachal Pradesh</v>
          </cell>
        </row>
        <row r="11">
          <cell r="A11" t="str">
            <v>Assam</v>
          </cell>
        </row>
        <row r="12">
          <cell r="A12" t="str">
            <v>Bihar</v>
          </cell>
        </row>
        <row r="13">
          <cell r="A13" t="str">
            <v>Chandigarh</v>
          </cell>
        </row>
        <row r="14">
          <cell r="A14" t="str">
            <v>Chhattisgarh</v>
          </cell>
        </row>
        <row r="15">
          <cell r="A15" t="str">
            <v>Dadra and Nagar Haveli &amp; Daman and Diu</v>
          </cell>
        </row>
        <row r="16">
          <cell r="A16" t="str">
            <v>Daman and Diu</v>
          </cell>
        </row>
        <row r="17">
          <cell r="A17" t="str">
            <v>Delhi</v>
          </cell>
        </row>
        <row r="18">
          <cell r="A18" t="str">
            <v>Goa</v>
          </cell>
        </row>
        <row r="19">
          <cell r="A19" t="str">
            <v>Gujarat</v>
          </cell>
        </row>
        <row r="20">
          <cell r="A20" t="str">
            <v>Haryana</v>
          </cell>
        </row>
        <row r="21">
          <cell r="A21" t="str">
            <v>Himachal Pradesh</v>
          </cell>
        </row>
        <row r="22">
          <cell r="A22" t="str">
            <v>Jammu and Kashmir</v>
          </cell>
        </row>
        <row r="23">
          <cell r="A23" t="str">
            <v>Jharkhand</v>
          </cell>
        </row>
        <row r="24">
          <cell r="A24" t="str">
            <v>Karnataka</v>
          </cell>
        </row>
        <row r="25">
          <cell r="A25" t="str">
            <v>Kerala</v>
          </cell>
        </row>
        <row r="26">
          <cell r="A26" t="str">
            <v>Ladakh</v>
          </cell>
        </row>
        <row r="27">
          <cell r="A27" t="str">
            <v>Lakshadweep</v>
          </cell>
        </row>
        <row r="28">
          <cell r="A28" t="str">
            <v>Madhya Pradesh</v>
          </cell>
        </row>
        <row r="29">
          <cell r="A29" t="str">
            <v>Maharashtra</v>
          </cell>
        </row>
        <row r="30">
          <cell r="A30" t="str">
            <v>Manipur</v>
          </cell>
        </row>
        <row r="31">
          <cell r="A31" t="str">
            <v>Meghalaya</v>
          </cell>
        </row>
        <row r="32">
          <cell r="A32" t="str">
            <v>Mizoram</v>
          </cell>
        </row>
        <row r="33">
          <cell r="A33" t="str">
            <v>Nagaland</v>
          </cell>
        </row>
        <row r="34">
          <cell r="A34" t="str">
            <v>Odisha</v>
          </cell>
        </row>
        <row r="35">
          <cell r="A35" t="str">
            <v>Other Territory</v>
          </cell>
        </row>
        <row r="36">
          <cell r="A36" t="str">
            <v>Puducherry</v>
          </cell>
        </row>
        <row r="37">
          <cell r="A37" t="str">
            <v>Punjab</v>
          </cell>
        </row>
        <row r="38">
          <cell r="A38" t="str">
            <v>Rajasthan</v>
          </cell>
        </row>
        <row r="39">
          <cell r="A39" t="str">
            <v>Sikkim</v>
          </cell>
        </row>
        <row r="40">
          <cell r="A40" t="str">
            <v>Tamil Nadu</v>
          </cell>
        </row>
        <row r="41">
          <cell r="A41" t="str">
            <v>Telangana</v>
          </cell>
        </row>
        <row r="42">
          <cell r="A42" t="str">
            <v>Tripura</v>
          </cell>
        </row>
        <row r="43">
          <cell r="A43" t="str">
            <v>Uttar Pradesh</v>
          </cell>
        </row>
        <row r="44">
          <cell r="A44" t="str">
            <v>Uttarakhand</v>
          </cell>
        </row>
        <row r="45">
          <cell r="A45" t="str">
            <v>West Bengal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opLeftCell="E1" workbookViewId="0">
      <selection activeCell="F22" sqref="F22:L22"/>
    </sheetView>
  </sheetViews>
  <sheetFormatPr defaultRowHeight="15" customHeight="1"/>
  <cols>
    <col min="1" max="2" width="20" style="110" customWidth="1"/>
    <col min="3" max="3" width="16.85546875" style="110" customWidth="1"/>
    <col min="4" max="5" width="15.85546875" style="110" customWidth="1"/>
    <col min="6" max="17" width="20" style="110" customWidth="1"/>
    <col min="18" max="21" width="14" style="110" customWidth="1"/>
    <col min="22" max="16384" width="9.140625" style="110"/>
  </cols>
  <sheetData>
    <row r="1" spans="1:21">
      <c r="A1" s="136" t="s">
        <v>235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</row>
    <row r="2" spans="1:2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</row>
    <row r="3" spans="1:2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</row>
    <row r="4" spans="1:21">
      <c r="A4" s="137" t="s">
        <v>236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</row>
    <row r="5" spans="1:21">
      <c r="A5" s="138" t="s">
        <v>237</v>
      </c>
      <c r="B5" s="138" t="s">
        <v>238</v>
      </c>
      <c r="C5" s="138" t="s">
        <v>239</v>
      </c>
      <c r="D5" s="138"/>
      <c r="E5" s="138"/>
      <c r="F5" s="138"/>
      <c r="G5" s="138" t="s">
        <v>240</v>
      </c>
      <c r="H5" s="138" t="s">
        <v>241</v>
      </c>
      <c r="I5" s="138" t="s">
        <v>242</v>
      </c>
      <c r="J5" s="138" t="s">
        <v>243</v>
      </c>
      <c r="K5" s="138"/>
      <c r="L5" s="138"/>
      <c r="M5" s="138"/>
      <c r="N5" s="138" t="s">
        <v>244</v>
      </c>
      <c r="O5" s="138" t="s">
        <v>245</v>
      </c>
      <c r="P5" s="138" t="s">
        <v>246</v>
      </c>
      <c r="Q5" s="138" t="s">
        <v>247</v>
      </c>
      <c r="R5" s="138" t="s">
        <v>248</v>
      </c>
      <c r="S5" s="138" t="s">
        <v>249</v>
      </c>
      <c r="T5" s="138" t="s">
        <v>250</v>
      </c>
      <c r="U5" s="138" t="s">
        <v>251</v>
      </c>
    </row>
    <row r="6" spans="1:21">
      <c r="A6" s="138"/>
      <c r="B6" s="138"/>
      <c r="C6" s="139" t="s">
        <v>252</v>
      </c>
      <c r="D6" s="139" t="s">
        <v>253</v>
      </c>
      <c r="E6" s="139" t="s">
        <v>12</v>
      </c>
      <c r="F6" s="139" t="s">
        <v>254</v>
      </c>
      <c r="G6" s="138"/>
      <c r="H6" s="138"/>
      <c r="I6" s="138"/>
      <c r="J6" s="139" t="s">
        <v>255</v>
      </c>
      <c r="K6" s="139" t="s">
        <v>256</v>
      </c>
      <c r="L6" s="139" t="s">
        <v>257</v>
      </c>
      <c r="M6" s="139" t="s">
        <v>258</v>
      </c>
      <c r="N6" s="138"/>
      <c r="O6" s="138"/>
      <c r="P6" s="138"/>
      <c r="Q6" s="138"/>
      <c r="R6" s="138"/>
      <c r="S6" s="138"/>
      <c r="T6" s="138"/>
      <c r="U6" s="138"/>
    </row>
    <row r="7" spans="1:21">
      <c r="A7" s="140" t="s">
        <v>259</v>
      </c>
      <c r="B7" s="140" t="s">
        <v>260</v>
      </c>
      <c r="C7" s="140" t="s">
        <v>261</v>
      </c>
      <c r="D7" s="140" t="s">
        <v>262</v>
      </c>
      <c r="E7" s="140" t="s">
        <v>263</v>
      </c>
      <c r="F7" s="141">
        <v>86123.96</v>
      </c>
      <c r="G7" s="140" t="s">
        <v>264</v>
      </c>
      <c r="H7" s="142" t="s">
        <v>265</v>
      </c>
      <c r="I7" s="141">
        <v>72986.41</v>
      </c>
      <c r="J7" s="141">
        <v>13137.55</v>
      </c>
      <c r="K7" s="141">
        <v>0</v>
      </c>
      <c r="L7" s="141">
        <v>0</v>
      </c>
      <c r="M7" s="141">
        <v>0</v>
      </c>
      <c r="N7" s="143" t="s">
        <v>266</v>
      </c>
      <c r="O7" s="140" t="s">
        <v>267</v>
      </c>
      <c r="P7" s="142" t="s">
        <v>268</v>
      </c>
      <c r="Q7" s="140" t="s">
        <v>269</v>
      </c>
      <c r="R7" s="141" t="s">
        <v>270</v>
      </c>
      <c r="S7" s="143" t="s">
        <v>269</v>
      </c>
      <c r="T7" s="143" t="s">
        <v>269</v>
      </c>
      <c r="U7" s="143" t="s">
        <v>269</v>
      </c>
    </row>
    <row r="8" spans="1:21">
      <c r="A8" s="140" t="s">
        <v>271</v>
      </c>
      <c r="B8" s="140" t="s">
        <v>272</v>
      </c>
      <c r="C8" s="140" t="s">
        <v>273</v>
      </c>
      <c r="D8" s="140" t="s">
        <v>262</v>
      </c>
      <c r="E8" s="140" t="s">
        <v>274</v>
      </c>
      <c r="F8" s="141">
        <v>29400</v>
      </c>
      <c r="G8" s="140" t="s">
        <v>264</v>
      </c>
      <c r="H8" s="142" t="s">
        <v>265</v>
      </c>
      <c r="I8" s="141">
        <v>28000</v>
      </c>
      <c r="J8" s="141">
        <v>0</v>
      </c>
      <c r="K8" s="141">
        <v>700</v>
      </c>
      <c r="L8" s="141">
        <v>700</v>
      </c>
      <c r="M8" s="141">
        <v>0</v>
      </c>
      <c r="N8" s="143" t="s">
        <v>266</v>
      </c>
      <c r="O8" s="140" t="s">
        <v>267</v>
      </c>
      <c r="P8" s="142" t="s">
        <v>268</v>
      </c>
      <c r="Q8" s="140" t="s">
        <v>269</v>
      </c>
      <c r="R8" s="141" t="s">
        <v>270</v>
      </c>
      <c r="S8" s="143" t="s">
        <v>269</v>
      </c>
      <c r="T8" s="143" t="s">
        <v>269</v>
      </c>
      <c r="U8" s="143" t="s">
        <v>269</v>
      </c>
    </row>
    <row r="9" spans="1:21">
      <c r="A9" s="140" t="s">
        <v>275</v>
      </c>
      <c r="B9" s="140" t="s">
        <v>276</v>
      </c>
      <c r="C9" s="140" t="s">
        <v>277</v>
      </c>
      <c r="D9" s="140" t="s">
        <v>262</v>
      </c>
      <c r="E9" s="140" t="s">
        <v>278</v>
      </c>
      <c r="F9" s="141">
        <v>132032</v>
      </c>
      <c r="G9" s="140" t="s">
        <v>264</v>
      </c>
      <c r="H9" s="142" t="s">
        <v>265</v>
      </c>
      <c r="I9" s="141">
        <v>125745.2</v>
      </c>
      <c r="J9" s="141">
        <v>0</v>
      </c>
      <c r="K9" s="141">
        <v>3143.63</v>
      </c>
      <c r="L9" s="141">
        <v>3143.63</v>
      </c>
      <c r="M9" s="141">
        <v>0</v>
      </c>
      <c r="N9" s="143" t="s">
        <v>266</v>
      </c>
      <c r="O9" s="140" t="s">
        <v>279</v>
      </c>
      <c r="P9" s="142" t="s">
        <v>268</v>
      </c>
      <c r="Q9" s="140" t="s">
        <v>269</v>
      </c>
      <c r="R9" s="141" t="s">
        <v>270</v>
      </c>
      <c r="S9" s="143" t="s">
        <v>269</v>
      </c>
      <c r="T9" s="143" t="s">
        <v>269</v>
      </c>
      <c r="U9" s="143" t="s">
        <v>269</v>
      </c>
    </row>
    <row r="10" spans="1:21">
      <c r="A10" s="140" t="s">
        <v>280</v>
      </c>
      <c r="B10" s="140" t="s">
        <v>281</v>
      </c>
      <c r="C10" s="140" t="s">
        <v>282</v>
      </c>
      <c r="D10" s="140" t="s">
        <v>262</v>
      </c>
      <c r="E10" s="140" t="s">
        <v>283</v>
      </c>
      <c r="F10" s="141">
        <v>2531.15</v>
      </c>
      <c r="G10" s="140" t="s">
        <v>264</v>
      </c>
      <c r="H10" s="142" t="s">
        <v>265</v>
      </c>
      <c r="I10" s="141">
        <v>2145.0500000000002</v>
      </c>
      <c r="J10" s="141">
        <v>386.1</v>
      </c>
      <c r="K10" s="141">
        <v>0</v>
      </c>
      <c r="L10" s="141">
        <v>0</v>
      </c>
      <c r="M10" s="141">
        <v>0</v>
      </c>
      <c r="N10" s="143" t="s">
        <v>266</v>
      </c>
      <c r="O10" s="140" t="s">
        <v>267</v>
      </c>
      <c r="P10" s="142" t="s">
        <v>268</v>
      </c>
      <c r="Q10" s="140" t="s">
        <v>269</v>
      </c>
      <c r="R10" s="141" t="s">
        <v>270</v>
      </c>
      <c r="S10" s="143" t="s">
        <v>269</v>
      </c>
      <c r="T10" s="143" t="s">
        <v>269</v>
      </c>
      <c r="U10" s="143" t="s">
        <v>269</v>
      </c>
    </row>
    <row r="11" spans="1:21">
      <c r="A11" s="140" t="s">
        <v>280</v>
      </c>
      <c r="B11" s="140" t="s">
        <v>281</v>
      </c>
      <c r="C11" s="140" t="s">
        <v>284</v>
      </c>
      <c r="D11" s="140" t="s">
        <v>262</v>
      </c>
      <c r="E11" s="140" t="s">
        <v>263</v>
      </c>
      <c r="F11" s="141">
        <v>45636.87</v>
      </c>
      <c r="G11" s="140" t="s">
        <v>264</v>
      </c>
      <c r="H11" s="142" t="s">
        <v>265</v>
      </c>
      <c r="I11" s="141">
        <v>38675.379999999997</v>
      </c>
      <c r="J11" s="141">
        <v>6961.49</v>
      </c>
      <c r="K11" s="141">
        <v>0</v>
      </c>
      <c r="L11" s="141">
        <v>0</v>
      </c>
      <c r="M11" s="141">
        <v>0</v>
      </c>
      <c r="N11" s="143" t="s">
        <v>266</v>
      </c>
      <c r="O11" s="140" t="s">
        <v>267</v>
      </c>
      <c r="P11" s="142" t="s">
        <v>268</v>
      </c>
      <c r="Q11" s="140" t="s">
        <v>269</v>
      </c>
      <c r="R11" s="141" t="s">
        <v>270</v>
      </c>
      <c r="S11" s="143" t="s">
        <v>269</v>
      </c>
      <c r="T11" s="143" t="s">
        <v>269</v>
      </c>
      <c r="U11" s="143" t="s">
        <v>269</v>
      </c>
    </row>
    <row r="12" spans="1:21">
      <c r="A12" s="140" t="s">
        <v>280</v>
      </c>
      <c r="B12" s="140" t="s">
        <v>281</v>
      </c>
      <c r="C12" s="140" t="s">
        <v>285</v>
      </c>
      <c r="D12" s="140" t="s">
        <v>262</v>
      </c>
      <c r="E12" s="140" t="s">
        <v>263</v>
      </c>
      <c r="F12" s="141">
        <v>14168.26</v>
      </c>
      <c r="G12" s="140" t="s">
        <v>264</v>
      </c>
      <c r="H12" s="142" t="s">
        <v>265</v>
      </c>
      <c r="I12" s="141">
        <v>12007</v>
      </c>
      <c r="J12" s="141">
        <v>2161.2600000000002</v>
      </c>
      <c r="K12" s="141">
        <v>0</v>
      </c>
      <c r="L12" s="141">
        <v>0</v>
      </c>
      <c r="M12" s="141">
        <v>0</v>
      </c>
      <c r="N12" s="143" t="s">
        <v>266</v>
      </c>
      <c r="O12" s="140" t="s">
        <v>267</v>
      </c>
      <c r="P12" s="142" t="s">
        <v>268</v>
      </c>
      <c r="Q12" s="140" t="s">
        <v>269</v>
      </c>
      <c r="R12" s="141" t="s">
        <v>270</v>
      </c>
      <c r="S12" s="143" t="s">
        <v>269</v>
      </c>
      <c r="T12" s="143" t="s">
        <v>269</v>
      </c>
      <c r="U12" s="143" t="s">
        <v>269</v>
      </c>
    </row>
    <row r="13" spans="1:21">
      <c r="A13" s="140" t="s">
        <v>280</v>
      </c>
      <c r="B13" s="140" t="s">
        <v>281</v>
      </c>
      <c r="C13" s="140" t="s">
        <v>286</v>
      </c>
      <c r="D13" s="140" t="s">
        <v>262</v>
      </c>
      <c r="E13" s="140" t="s">
        <v>263</v>
      </c>
      <c r="F13" s="141">
        <v>29730.1</v>
      </c>
      <c r="G13" s="140" t="s">
        <v>264</v>
      </c>
      <c r="H13" s="142" t="s">
        <v>265</v>
      </c>
      <c r="I13" s="141">
        <v>25195</v>
      </c>
      <c r="J13" s="141">
        <v>4535.1000000000004</v>
      </c>
      <c r="K13" s="141">
        <v>0</v>
      </c>
      <c r="L13" s="141">
        <v>0</v>
      </c>
      <c r="M13" s="141">
        <v>0</v>
      </c>
      <c r="N13" s="143" t="s">
        <v>266</v>
      </c>
      <c r="O13" s="140" t="s">
        <v>267</v>
      </c>
      <c r="P13" s="142" t="s">
        <v>268</v>
      </c>
      <c r="Q13" s="140" t="s">
        <v>269</v>
      </c>
      <c r="R13" s="141" t="s">
        <v>270</v>
      </c>
      <c r="S13" s="143" t="s">
        <v>269</v>
      </c>
      <c r="T13" s="143" t="s">
        <v>269</v>
      </c>
      <c r="U13" s="143" t="s">
        <v>269</v>
      </c>
    </row>
    <row r="14" spans="1:21">
      <c r="A14" s="140" t="s">
        <v>287</v>
      </c>
      <c r="B14" s="140" t="s">
        <v>288</v>
      </c>
      <c r="C14" s="140" t="s">
        <v>289</v>
      </c>
      <c r="D14" s="140" t="s">
        <v>262</v>
      </c>
      <c r="E14" s="140" t="s">
        <v>263</v>
      </c>
      <c r="F14" s="141">
        <v>2973.93</v>
      </c>
      <c r="G14" s="140" t="s">
        <v>264</v>
      </c>
      <c r="H14" s="142" t="s">
        <v>265</v>
      </c>
      <c r="I14" s="141">
        <v>2832.31</v>
      </c>
      <c r="J14" s="141">
        <v>141.62</v>
      </c>
      <c r="K14" s="141">
        <v>0</v>
      </c>
      <c r="L14" s="141">
        <v>0</v>
      </c>
      <c r="M14" s="141">
        <v>0</v>
      </c>
      <c r="N14" s="143" t="s">
        <v>266</v>
      </c>
      <c r="O14" s="140" t="s">
        <v>267</v>
      </c>
      <c r="P14" s="142" t="s">
        <v>268</v>
      </c>
      <c r="Q14" s="140" t="s">
        <v>269</v>
      </c>
      <c r="R14" s="141" t="s">
        <v>270</v>
      </c>
      <c r="S14" s="143" t="s">
        <v>269</v>
      </c>
      <c r="T14" s="143" t="s">
        <v>269</v>
      </c>
      <c r="U14" s="143" t="s">
        <v>269</v>
      </c>
    </row>
    <row r="15" spans="1:21">
      <c r="A15" s="140" t="s">
        <v>290</v>
      </c>
      <c r="B15" s="140" t="s">
        <v>291</v>
      </c>
      <c r="C15" s="140" t="s">
        <v>292</v>
      </c>
      <c r="D15" s="140" t="s">
        <v>262</v>
      </c>
      <c r="E15" s="140" t="s">
        <v>293</v>
      </c>
      <c r="F15" s="141">
        <v>14011</v>
      </c>
      <c r="G15" s="140" t="s">
        <v>264</v>
      </c>
      <c r="H15" s="142" t="s">
        <v>265</v>
      </c>
      <c r="I15" s="141">
        <v>13344</v>
      </c>
      <c r="J15" s="141">
        <v>0</v>
      </c>
      <c r="K15" s="141">
        <v>333.6</v>
      </c>
      <c r="L15" s="141">
        <v>333.6</v>
      </c>
      <c r="M15" s="141">
        <v>0</v>
      </c>
      <c r="N15" s="143" t="s">
        <v>266</v>
      </c>
      <c r="O15" s="140" t="s">
        <v>279</v>
      </c>
      <c r="P15" s="142" t="s">
        <v>268</v>
      </c>
      <c r="Q15" s="140" t="s">
        <v>269</v>
      </c>
      <c r="R15" s="141" t="s">
        <v>270</v>
      </c>
      <c r="S15" s="143" t="s">
        <v>269</v>
      </c>
      <c r="T15" s="143" t="s">
        <v>269</v>
      </c>
      <c r="U15" s="143" t="s">
        <v>269</v>
      </c>
    </row>
    <row r="16" spans="1:21">
      <c r="A16" s="140" t="s">
        <v>294</v>
      </c>
      <c r="B16" s="140" t="s">
        <v>295</v>
      </c>
      <c r="C16" s="140" t="s">
        <v>296</v>
      </c>
      <c r="D16" s="140" t="s">
        <v>262</v>
      </c>
      <c r="E16" s="140" t="s">
        <v>263</v>
      </c>
      <c r="F16" s="141">
        <v>17189.66</v>
      </c>
      <c r="G16" s="140" t="s">
        <v>264</v>
      </c>
      <c r="H16" s="142" t="s">
        <v>265</v>
      </c>
      <c r="I16" s="141">
        <v>14567.49</v>
      </c>
      <c r="J16" s="141">
        <v>2622.15</v>
      </c>
      <c r="K16" s="141">
        <v>0</v>
      </c>
      <c r="L16" s="141">
        <v>0</v>
      </c>
      <c r="M16" s="141">
        <v>0</v>
      </c>
      <c r="N16" s="143" t="s">
        <v>266</v>
      </c>
      <c r="O16" s="140" t="s">
        <v>297</v>
      </c>
      <c r="P16" s="142" t="s">
        <v>268</v>
      </c>
      <c r="Q16" s="140" t="s">
        <v>269</v>
      </c>
      <c r="R16" s="141" t="s">
        <v>270</v>
      </c>
      <c r="S16" s="143" t="s">
        <v>269</v>
      </c>
      <c r="T16" s="143" t="s">
        <v>269</v>
      </c>
      <c r="U16" s="143" t="s">
        <v>269</v>
      </c>
    </row>
    <row r="17" spans="1:21">
      <c r="A17" s="140" t="s">
        <v>298</v>
      </c>
      <c r="B17" s="140" t="s">
        <v>299</v>
      </c>
      <c r="C17" s="140" t="s">
        <v>300</v>
      </c>
      <c r="D17" s="140" t="s">
        <v>262</v>
      </c>
      <c r="E17" s="140" t="s">
        <v>301</v>
      </c>
      <c r="F17" s="141">
        <v>6300</v>
      </c>
      <c r="G17" s="140" t="s">
        <v>264</v>
      </c>
      <c r="H17" s="142" t="s">
        <v>265</v>
      </c>
      <c r="I17" s="141">
        <v>6000</v>
      </c>
      <c r="J17" s="141">
        <v>0</v>
      </c>
      <c r="K17" s="141">
        <v>150</v>
      </c>
      <c r="L17" s="141">
        <v>150</v>
      </c>
      <c r="M17" s="141">
        <v>0</v>
      </c>
      <c r="N17" s="143" t="s">
        <v>266</v>
      </c>
      <c r="O17" s="140" t="s">
        <v>302</v>
      </c>
      <c r="P17" s="142" t="s">
        <v>268</v>
      </c>
      <c r="Q17" s="140" t="s">
        <v>269</v>
      </c>
      <c r="R17" s="141" t="s">
        <v>270</v>
      </c>
      <c r="S17" s="143" t="s">
        <v>269</v>
      </c>
      <c r="T17" s="143" t="s">
        <v>269</v>
      </c>
      <c r="U17" s="143" t="s">
        <v>269</v>
      </c>
    </row>
    <row r="18" spans="1:21">
      <c r="A18" s="140" t="s">
        <v>298</v>
      </c>
      <c r="B18" s="140" t="s">
        <v>299</v>
      </c>
      <c r="C18" s="140" t="s">
        <v>303</v>
      </c>
      <c r="D18" s="140" t="s">
        <v>262</v>
      </c>
      <c r="E18" s="140" t="s">
        <v>304</v>
      </c>
      <c r="F18" s="141">
        <v>52448</v>
      </c>
      <c r="G18" s="140" t="s">
        <v>264</v>
      </c>
      <c r="H18" s="142" t="s">
        <v>265</v>
      </c>
      <c r="I18" s="141">
        <v>49950</v>
      </c>
      <c r="J18" s="141">
        <v>0</v>
      </c>
      <c r="K18" s="141">
        <v>1248.75</v>
      </c>
      <c r="L18" s="141">
        <v>1248.75</v>
      </c>
      <c r="M18" s="141">
        <v>0</v>
      </c>
      <c r="N18" s="143" t="s">
        <v>266</v>
      </c>
      <c r="O18" s="140" t="s">
        <v>302</v>
      </c>
      <c r="P18" s="142" t="s">
        <v>268</v>
      </c>
      <c r="Q18" s="140" t="s">
        <v>269</v>
      </c>
      <c r="R18" s="141" t="s">
        <v>270</v>
      </c>
      <c r="S18" s="143" t="s">
        <v>269</v>
      </c>
      <c r="T18" s="143" t="s">
        <v>269</v>
      </c>
      <c r="U18" s="143" t="s">
        <v>269</v>
      </c>
    </row>
    <row r="19" spans="1:21">
      <c r="A19" s="140" t="s">
        <v>298</v>
      </c>
      <c r="B19" s="140" t="s">
        <v>299</v>
      </c>
      <c r="C19" s="140" t="s">
        <v>305</v>
      </c>
      <c r="D19" s="140" t="s">
        <v>262</v>
      </c>
      <c r="E19" s="140" t="s">
        <v>306</v>
      </c>
      <c r="F19" s="141">
        <v>8190</v>
      </c>
      <c r="G19" s="140" t="s">
        <v>264</v>
      </c>
      <c r="H19" s="142" t="s">
        <v>265</v>
      </c>
      <c r="I19" s="141">
        <v>7800</v>
      </c>
      <c r="J19" s="141">
        <v>0</v>
      </c>
      <c r="K19" s="141">
        <v>195</v>
      </c>
      <c r="L19" s="141">
        <v>195</v>
      </c>
      <c r="M19" s="141">
        <v>0</v>
      </c>
      <c r="N19" s="143" t="s">
        <v>266</v>
      </c>
      <c r="O19" s="140" t="s">
        <v>302</v>
      </c>
      <c r="P19" s="142" t="s">
        <v>268</v>
      </c>
      <c r="Q19" s="140" t="s">
        <v>269</v>
      </c>
      <c r="R19" s="141" t="s">
        <v>270</v>
      </c>
      <c r="S19" s="143" t="s">
        <v>269</v>
      </c>
      <c r="T19" s="143" t="s">
        <v>269</v>
      </c>
      <c r="U19" s="143" t="s">
        <v>269</v>
      </c>
    </row>
    <row r="20" spans="1:21">
      <c r="A20" s="140" t="s">
        <v>298</v>
      </c>
      <c r="B20" s="140" t="s">
        <v>299</v>
      </c>
      <c r="C20" s="140" t="s">
        <v>307</v>
      </c>
      <c r="D20" s="140" t="s">
        <v>262</v>
      </c>
      <c r="E20" s="140" t="s">
        <v>306</v>
      </c>
      <c r="F20" s="141">
        <v>15750</v>
      </c>
      <c r="G20" s="140" t="s">
        <v>264</v>
      </c>
      <c r="H20" s="142" t="s">
        <v>265</v>
      </c>
      <c r="I20" s="141">
        <v>15000</v>
      </c>
      <c r="J20" s="141">
        <v>0</v>
      </c>
      <c r="K20" s="141">
        <v>375</v>
      </c>
      <c r="L20" s="141">
        <v>375</v>
      </c>
      <c r="M20" s="141">
        <v>0</v>
      </c>
      <c r="N20" s="143" t="s">
        <v>266</v>
      </c>
      <c r="O20" s="140" t="s">
        <v>302</v>
      </c>
      <c r="P20" s="142" t="s">
        <v>268</v>
      </c>
      <c r="Q20" s="140" t="s">
        <v>269</v>
      </c>
      <c r="R20" s="141" t="s">
        <v>270</v>
      </c>
      <c r="S20" s="143" t="s">
        <v>269</v>
      </c>
      <c r="T20" s="143" t="s">
        <v>269</v>
      </c>
      <c r="U20" s="143" t="s">
        <v>269</v>
      </c>
    </row>
    <row r="21" spans="1:21">
      <c r="A21" s="140" t="s">
        <v>308</v>
      </c>
      <c r="B21" s="140" t="s">
        <v>309</v>
      </c>
      <c r="C21" s="140" t="s">
        <v>310</v>
      </c>
      <c r="D21" s="140" t="s">
        <v>262</v>
      </c>
      <c r="E21" s="140" t="s">
        <v>263</v>
      </c>
      <c r="F21" s="141">
        <v>83896.29</v>
      </c>
      <c r="G21" s="140" t="s">
        <v>264</v>
      </c>
      <c r="H21" s="142" t="s">
        <v>265</v>
      </c>
      <c r="I21" s="141">
        <v>71098.55</v>
      </c>
      <c r="J21" s="141">
        <v>12797.74</v>
      </c>
      <c r="K21" s="141">
        <v>0</v>
      </c>
      <c r="L21" s="141">
        <v>0</v>
      </c>
      <c r="M21" s="141">
        <v>0</v>
      </c>
      <c r="N21" s="143" t="s">
        <v>266</v>
      </c>
      <c r="O21" s="140" t="s">
        <v>267</v>
      </c>
      <c r="P21" s="142" t="s">
        <v>268</v>
      </c>
      <c r="Q21" s="140" t="s">
        <v>269</v>
      </c>
      <c r="R21" s="141" t="s">
        <v>270</v>
      </c>
      <c r="S21" s="143" t="s">
        <v>269</v>
      </c>
      <c r="T21" s="143" t="s">
        <v>269</v>
      </c>
      <c r="U21" s="143" t="s">
        <v>269</v>
      </c>
    </row>
    <row r="22" spans="1:21" ht="15" customHeight="1" thickBot="1">
      <c r="F22" s="111">
        <f t="shared" ref="F22:L22" si="0">SUM(F7:F21)</f>
        <v>540381.22</v>
      </c>
      <c r="G22" s="111">
        <f t="shared" si="0"/>
        <v>0</v>
      </c>
      <c r="H22" s="111">
        <f t="shared" si="0"/>
        <v>0</v>
      </c>
      <c r="I22" s="111">
        <f t="shared" si="0"/>
        <v>485346.38999999996</v>
      </c>
      <c r="J22" s="111">
        <f t="shared" si="0"/>
        <v>42743.01</v>
      </c>
      <c r="K22" s="111">
        <f t="shared" si="0"/>
        <v>6145.9800000000005</v>
      </c>
      <c r="L22" s="111">
        <f t="shared" si="0"/>
        <v>6145.9800000000005</v>
      </c>
    </row>
    <row r="23" spans="1:21" ht="15" customHeight="1" thickTop="1"/>
  </sheetData>
  <mergeCells count="17">
    <mergeCell ref="U5:U6"/>
    <mergeCell ref="O5:O6"/>
    <mergeCell ref="P5:P6"/>
    <mergeCell ref="Q5:Q6"/>
    <mergeCell ref="R5:R6"/>
    <mergeCell ref="S5:S6"/>
    <mergeCell ref="T5:T6"/>
    <mergeCell ref="A1:U3"/>
    <mergeCell ref="A4:U4"/>
    <mergeCell ref="A5:A6"/>
    <mergeCell ref="B5:B6"/>
    <mergeCell ref="C5:F5"/>
    <mergeCell ref="G5:G6"/>
    <mergeCell ref="H5:H6"/>
    <mergeCell ref="I5:I6"/>
    <mergeCell ref="J5:M5"/>
    <mergeCell ref="N5:N6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opLeftCell="D1" workbookViewId="0">
      <selection activeCell="G10" sqref="G10:M10"/>
    </sheetView>
  </sheetViews>
  <sheetFormatPr defaultRowHeight="15"/>
  <cols>
    <col min="1" max="2" width="20" style="109" customWidth="1"/>
    <col min="3" max="6" width="15.85546875" style="109" customWidth="1"/>
    <col min="7" max="19" width="20" style="109" customWidth="1"/>
    <col min="20" max="20" width="35" style="109" customWidth="1"/>
    <col min="21" max="23" width="20" style="109" customWidth="1"/>
    <col min="24" max="24" width="35" style="109" customWidth="1"/>
    <col min="25" max="28" width="20" style="109" customWidth="1"/>
    <col min="29" max="16384" width="9.140625" style="109"/>
  </cols>
  <sheetData>
    <row r="1" spans="1:28">
      <c r="A1" s="129" t="s">
        <v>235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</row>
    <row r="2" spans="1:28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</row>
    <row r="3" spans="1:28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28">
      <c r="A4" s="130" t="s">
        <v>311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spans="1:28">
      <c r="A5" s="131" t="s">
        <v>237</v>
      </c>
      <c r="B5" s="131" t="s">
        <v>238</v>
      </c>
      <c r="C5" s="131" t="s">
        <v>312</v>
      </c>
      <c r="D5" s="131"/>
      <c r="E5" s="131"/>
      <c r="F5" s="131"/>
      <c r="G5" s="131"/>
      <c r="H5" s="131" t="s">
        <v>240</v>
      </c>
      <c r="I5" s="131" t="s">
        <v>241</v>
      </c>
      <c r="J5" s="131" t="s">
        <v>242</v>
      </c>
      <c r="K5" s="131" t="s">
        <v>243</v>
      </c>
      <c r="L5" s="131"/>
      <c r="M5" s="131"/>
      <c r="N5" s="131"/>
      <c r="O5" s="131" t="s">
        <v>313</v>
      </c>
      <c r="P5" s="144" t="s">
        <v>314</v>
      </c>
      <c r="Q5" s="144"/>
      <c r="R5" s="144"/>
      <c r="S5" s="144"/>
      <c r="T5" s="131" t="s">
        <v>315</v>
      </c>
      <c r="U5" s="131" t="s">
        <v>316</v>
      </c>
      <c r="V5" s="131" t="s">
        <v>317</v>
      </c>
      <c r="W5" s="131" t="s">
        <v>246</v>
      </c>
      <c r="X5" s="131" t="s">
        <v>247</v>
      </c>
      <c r="Y5" s="131" t="s">
        <v>248</v>
      </c>
      <c r="Z5" s="131" t="s">
        <v>249</v>
      </c>
      <c r="AA5" s="131" t="s">
        <v>250</v>
      </c>
      <c r="AB5" s="131" t="s">
        <v>251</v>
      </c>
    </row>
    <row r="6" spans="1:28">
      <c r="A6" s="131"/>
      <c r="B6" s="131"/>
      <c r="C6" s="132" t="s">
        <v>318</v>
      </c>
      <c r="D6" s="132" t="s">
        <v>319</v>
      </c>
      <c r="E6" s="132" t="s">
        <v>320</v>
      </c>
      <c r="F6" s="132" t="s">
        <v>321</v>
      </c>
      <c r="G6" s="132" t="s">
        <v>322</v>
      </c>
      <c r="H6" s="131"/>
      <c r="I6" s="131"/>
      <c r="J6" s="131"/>
      <c r="K6" s="132" t="s">
        <v>255</v>
      </c>
      <c r="L6" s="132" t="s">
        <v>256</v>
      </c>
      <c r="M6" s="132" t="s">
        <v>257</v>
      </c>
      <c r="N6" s="132" t="s">
        <v>258</v>
      </c>
      <c r="O6" s="131"/>
      <c r="P6" s="132" t="s">
        <v>255</v>
      </c>
      <c r="Q6" s="132" t="s">
        <v>256</v>
      </c>
      <c r="R6" s="132" t="s">
        <v>257</v>
      </c>
      <c r="S6" s="132" t="s">
        <v>258</v>
      </c>
      <c r="T6" s="131"/>
      <c r="U6" s="131"/>
      <c r="V6" s="131"/>
      <c r="W6" s="131"/>
      <c r="X6" s="131"/>
      <c r="Y6" s="131"/>
      <c r="Z6" s="131"/>
      <c r="AA6" s="131"/>
      <c r="AB6" s="131"/>
    </row>
    <row r="7" spans="1:28">
      <c r="A7" s="133" t="s">
        <v>280</v>
      </c>
      <c r="B7" s="133" t="s">
        <v>281</v>
      </c>
      <c r="C7" s="133" t="s">
        <v>323</v>
      </c>
      <c r="D7" s="133" t="s">
        <v>324</v>
      </c>
      <c r="E7" s="133" t="s">
        <v>262</v>
      </c>
      <c r="F7" s="133" t="s">
        <v>263</v>
      </c>
      <c r="G7" s="134">
        <v>637.20000000000005</v>
      </c>
      <c r="H7" s="133" t="s">
        <v>264</v>
      </c>
      <c r="I7" s="135" t="s">
        <v>265</v>
      </c>
      <c r="J7" s="134">
        <v>540</v>
      </c>
      <c r="K7" s="134">
        <v>97.2</v>
      </c>
      <c r="L7" s="134">
        <v>0</v>
      </c>
      <c r="M7" s="134">
        <v>0</v>
      </c>
      <c r="N7" s="134">
        <v>0</v>
      </c>
      <c r="O7" s="133" t="s">
        <v>325</v>
      </c>
      <c r="P7" s="134" t="s">
        <v>325</v>
      </c>
      <c r="Q7" s="134" t="s">
        <v>325</v>
      </c>
      <c r="R7" s="134" t="s">
        <v>325</v>
      </c>
      <c r="S7" s="134" t="s">
        <v>325</v>
      </c>
      <c r="T7" s="133" t="s">
        <v>326</v>
      </c>
      <c r="U7" s="133" t="s">
        <v>266</v>
      </c>
      <c r="V7" s="133" t="s">
        <v>267</v>
      </c>
      <c r="W7" s="135" t="s">
        <v>268</v>
      </c>
      <c r="X7" s="133" t="s">
        <v>269</v>
      </c>
      <c r="Y7" s="133" t="s">
        <v>270</v>
      </c>
      <c r="Z7" s="134" t="s">
        <v>269</v>
      </c>
      <c r="AA7" s="133" t="s">
        <v>269</v>
      </c>
      <c r="AB7" s="133" t="s">
        <v>269</v>
      </c>
    </row>
    <row r="8" spans="1:28">
      <c r="A8" s="133" t="s">
        <v>280</v>
      </c>
      <c r="B8" s="133" t="s">
        <v>281</v>
      </c>
      <c r="C8" s="133" t="s">
        <v>327</v>
      </c>
      <c r="D8" s="133" t="s">
        <v>324</v>
      </c>
      <c r="E8" s="133" t="s">
        <v>262</v>
      </c>
      <c r="F8" s="133" t="s">
        <v>263</v>
      </c>
      <c r="G8" s="134">
        <v>1229.56</v>
      </c>
      <c r="H8" s="133" t="s">
        <v>264</v>
      </c>
      <c r="I8" s="135" t="s">
        <v>265</v>
      </c>
      <c r="J8" s="134">
        <v>1042</v>
      </c>
      <c r="K8" s="134">
        <v>187.56</v>
      </c>
      <c r="L8" s="134">
        <v>0</v>
      </c>
      <c r="M8" s="134">
        <v>0</v>
      </c>
      <c r="N8" s="134">
        <v>0</v>
      </c>
      <c r="O8" s="133" t="s">
        <v>325</v>
      </c>
      <c r="P8" s="134" t="s">
        <v>325</v>
      </c>
      <c r="Q8" s="134" t="s">
        <v>325</v>
      </c>
      <c r="R8" s="134" t="s">
        <v>325</v>
      </c>
      <c r="S8" s="134" t="s">
        <v>325</v>
      </c>
      <c r="T8" s="133" t="s">
        <v>326</v>
      </c>
      <c r="U8" s="133" t="s">
        <v>266</v>
      </c>
      <c r="V8" s="133" t="s">
        <v>267</v>
      </c>
      <c r="W8" s="135" t="s">
        <v>268</v>
      </c>
      <c r="X8" s="133" t="s">
        <v>269</v>
      </c>
      <c r="Y8" s="133" t="s">
        <v>270</v>
      </c>
      <c r="Z8" s="134" t="s">
        <v>269</v>
      </c>
      <c r="AA8" s="133" t="s">
        <v>269</v>
      </c>
      <c r="AB8" s="133" t="s">
        <v>269</v>
      </c>
    </row>
    <row r="9" spans="1:28">
      <c r="A9" s="133" t="s">
        <v>294</v>
      </c>
      <c r="B9" s="133" t="s">
        <v>295</v>
      </c>
      <c r="C9" s="133" t="s">
        <v>328</v>
      </c>
      <c r="D9" s="133" t="s">
        <v>324</v>
      </c>
      <c r="E9" s="133" t="s">
        <v>262</v>
      </c>
      <c r="F9" s="133" t="s">
        <v>263</v>
      </c>
      <c r="G9" s="134">
        <v>78.62</v>
      </c>
      <c r="H9" s="133" t="s">
        <v>264</v>
      </c>
      <c r="I9" s="135" t="s">
        <v>265</v>
      </c>
      <c r="J9" s="134">
        <v>66.63</v>
      </c>
      <c r="K9" s="134">
        <v>11.99</v>
      </c>
      <c r="L9" s="134">
        <v>0</v>
      </c>
      <c r="M9" s="134">
        <v>0</v>
      </c>
      <c r="N9" s="134">
        <v>0</v>
      </c>
      <c r="O9" s="133" t="s">
        <v>325</v>
      </c>
      <c r="P9" s="134" t="s">
        <v>325</v>
      </c>
      <c r="Q9" s="134" t="s">
        <v>325</v>
      </c>
      <c r="R9" s="134" t="s">
        <v>325</v>
      </c>
      <c r="S9" s="134" t="s">
        <v>325</v>
      </c>
      <c r="T9" s="133" t="s">
        <v>326</v>
      </c>
      <c r="U9" s="133" t="s">
        <v>266</v>
      </c>
      <c r="V9" s="133" t="s">
        <v>297</v>
      </c>
      <c r="W9" s="135" t="s">
        <v>268</v>
      </c>
      <c r="X9" s="133" t="s">
        <v>269</v>
      </c>
      <c r="Y9" s="133" t="s">
        <v>270</v>
      </c>
      <c r="Z9" s="134" t="s">
        <v>269</v>
      </c>
      <c r="AA9" s="133" t="s">
        <v>269</v>
      </c>
      <c r="AB9" s="133" t="s">
        <v>269</v>
      </c>
    </row>
    <row r="10" spans="1:28" ht="15.75" thickBot="1">
      <c r="G10" s="145">
        <f t="shared" ref="G10:M10" si="0">SUM(G7:G9)</f>
        <v>1945.38</v>
      </c>
      <c r="H10" s="145">
        <f t="shared" si="0"/>
        <v>0</v>
      </c>
      <c r="I10" s="145">
        <f t="shared" si="0"/>
        <v>0</v>
      </c>
      <c r="J10" s="145">
        <f t="shared" si="0"/>
        <v>1648.63</v>
      </c>
      <c r="K10" s="145">
        <f t="shared" si="0"/>
        <v>296.75</v>
      </c>
      <c r="L10" s="145">
        <f t="shared" si="0"/>
        <v>0</v>
      </c>
      <c r="M10" s="145">
        <f t="shared" si="0"/>
        <v>0</v>
      </c>
    </row>
    <row r="11" spans="1:28" ht="15.75" thickTop="1"/>
  </sheetData>
  <sortState ref="A3:W8">
    <sortCondition ref="D3:D8"/>
  </sortState>
  <mergeCells count="20">
    <mergeCell ref="Y5:Y6"/>
    <mergeCell ref="Z5:Z6"/>
    <mergeCell ref="AA5:AA6"/>
    <mergeCell ref="AB5:AB6"/>
    <mergeCell ref="P5:S5"/>
    <mergeCell ref="T5:T6"/>
    <mergeCell ref="U5:U6"/>
    <mergeCell ref="V5:V6"/>
    <mergeCell ref="W5:W6"/>
    <mergeCell ref="X5:X6"/>
    <mergeCell ref="A1:AB3"/>
    <mergeCell ref="A4:AB4"/>
    <mergeCell ref="A5:A6"/>
    <mergeCell ref="B5:B6"/>
    <mergeCell ref="C5:G5"/>
    <mergeCell ref="H5:H6"/>
    <mergeCell ref="I5:I6"/>
    <mergeCell ref="J5:J6"/>
    <mergeCell ref="K5:N5"/>
    <mergeCell ref="O5:O6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048570"/>
  <sheetViews>
    <sheetView topLeftCell="A46" workbookViewId="0">
      <selection activeCell="D41" sqref="D41"/>
    </sheetView>
  </sheetViews>
  <sheetFormatPr defaultRowHeight="15"/>
  <cols>
    <col min="2" max="2" width="8.5703125" customWidth="1"/>
    <col min="3" max="3" width="15.5703125" style="3" bestFit="1" customWidth="1"/>
    <col min="4" max="4" width="15.140625" style="3" bestFit="1" customWidth="1"/>
    <col min="5" max="5" width="12.85546875" style="3" bestFit="1" customWidth="1"/>
    <col min="6" max="6" width="10.28515625" style="3" customWidth="1"/>
    <col min="7" max="7" width="10.5703125" style="3" bestFit="1" customWidth="1"/>
    <col min="8" max="8" width="13.140625" style="3" bestFit="1" customWidth="1"/>
    <col min="10" max="10" width="12.140625" style="2" bestFit="1" customWidth="1"/>
    <col min="11" max="11" width="13.28515625" bestFit="1" customWidth="1"/>
    <col min="12" max="12" width="12.140625" bestFit="1" customWidth="1"/>
    <col min="13" max="14" width="10.5703125" bestFit="1" customWidth="1"/>
  </cols>
  <sheetData>
    <row r="3" spans="2:15">
      <c r="B3" s="2"/>
      <c r="C3" s="9" t="s">
        <v>44</v>
      </c>
      <c r="D3" s="19"/>
      <c r="E3" s="19"/>
      <c r="J3" s="7"/>
      <c r="K3" s="16" t="s">
        <v>48</v>
      </c>
      <c r="L3" s="10"/>
      <c r="M3" s="7"/>
      <c r="N3" s="7"/>
      <c r="O3" s="7"/>
    </row>
    <row r="4" spans="2:15">
      <c r="B4" s="2"/>
      <c r="C4" s="7"/>
      <c r="J4" s="7"/>
      <c r="K4" s="2"/>
      <c r="L4" s="7"/>
      <c r="M4" s="7"/>
      <c r="N4" s="7"/>
      <c r="O4" s="7"/>
    </row>
    <row r="5" spans="2:15" ht="15.75" thickBot="1">
      <c r="B5" s="2"/>
      <c r="C5" s="8" t="s">
        <v>4</v>
      </c>
      <c r="D5" s="5" t="s">
        <v>45</v>
      </c>
      <c r="E5" s="20" t="s">
        <v>0</v>
      </c>
      <c r="F5" s="20" t="s">
        <v>1</v>
      </c>
      <c r="G5" s="20" t="s">
        <v>2</v>
      </c>
      <c r="J5" s="7"/>
      <c r="K5" s="8" t="s">
        <v>49</v>
      </c>
      <c r="L5" s="8" t="s">
        <v>45</v>
      </c>
      <c r="M5" s="11" t="s">
        <v>0</v>
      </c>
      <c r="N5" s="11" t="s">
        <v>1</v>
      </c>
      <c r="O5" s="11" t="s">
        <v>2</v>
      </c>
    </row>
    <row r="6" spans="2:15" s="24" customFormat="1" ht="15.75" thickTop="1">
      <c r="B6" s="2"/>
      <c r="C6" s="25"/>
      <c r="D6" s="26"/>
      <c r="E6" s="21"/>
      <c r="F6" s="21"/>
      <c r="G6" s="21"/>
      <c r="H6" s="3"/>
      <c r="K6" s="25"/>
      <c r="L6" s="25"/>
      <c r="M6" s="27"/>
      <c r="N6" s="27"/>
      <c r="O6" s="27"/>
    </row>
    <row r="7" spans="2:15" s="24" customFormat="1">
      <c r="B7" s="12">
        <v>0.03</v>
      </c>
      <c r="C7" s="25" t="s">
        <v>54</v>
      </c>
      <c r="D7" s="26"/>
      <c r="E7" s="21"/>
      <c r="F7" s="21">
        <f>D7*1.5/100</f>
        <v>0</v>
      </c>
      <c r="G7" s="21">
        <f>+F7</f>
        <v>0</v>
      </c>
      <c r="H7" s="3"/>
      <c r="K7" s="25"/>
      <c r="L7" s="25"/>
      <c r="M7" s="27"/>
      <c r="N7" s="27"/>
      <c r="O7" s="27"/>
    </row>
    <row r="8" spans="2:15" s="24" customFormat="1">
      <c r="B8" s="2"/>
      <c r="C8" s="25"/>
      <c r="D8" s="26"/>
      <c r="E8" s="21"/>
      <c r="F8" s="21"/>
      <c r="G8" s="21"/>
      <c r="H8" s="3"/>
      <c r="K8" s="25"/>
      <c r="L8" s="25"/>
      <c r="M8" s="27"/>
      <c r="N8" s="27"/>
      <c r="O8" s="27"/>
    </row>
    <row r="9" spans="2:15" s="24" customFormat="1">
      <c r="B9" s="2"/>
      <c r="C9" s="25"/>
      <c r="D9" s="26"/>
      <c r="E9" s="21"/>
      <c r="F9" s="21"/>
      <c r="G9" s="21"/>
      <c r="H9" s="3"/>
      <c r="K9" s="25"/>
      <c r="L9" s="25"/>
      <c r="M9" s="27"/>
      <c r="N9" s="27"/>
      <c r="O9" s="27"/>
    </row>
    <row r="10" spans="2:15" s="24" customFormat="1">
      <c r="B10" s="2"/>
      <c r="C10" s="25"/>
      <c r="D10" s="26"/>
      <c r="E10" s="21"/>
      <c r="F10" s="21"/>
      <c r="G10" s="21"/>
      <c r="H10" s="3"/>
      <c r="K10" s="25"/>
      <c r="L10" s="25"/>
      <c r="M10" s="27"/>
      <c r="N10" s="27"/>
      <c r="O10" s="27"/>
    </row>
    <row r="11" spans="2:15" s="24" customFormat="1">
      <c r="B11" s="2"/>
      <c r="C11" s="25"/>
      <c r="D11" s="26"/>
      <c r="E11" s="21"/>
      <c r="F11" s="21"/>
      <c r="G11" s="21"/>
      <c r="H11" s="3"/>
      <c r="K11" s="25"/>
      <c r="L11" s="25"/>
      <c r="M11" s="27"/>
      <c r="N11" s="27"/>
      <c r="O11" s="27"/>
    </row>
    <row r="12" spans="2:15" s="24" customFormat="1">
      <c r="B12" s="2"/>
      <c r="C12" s="25"/>
      <c r="D12" s="26"/>
      <c r="E12" s="21"/>
      <c r="F12" s="21"/>
      <c r="G12" s="21"/>
      <c r="H12" s="3"/>
      <c r="K12" s="25"/>
      <c r="L12" s="25"/>
      <c r="M12" s="27"/>
      <c r="N12" s="27"/>
      <c r="O12" s="27"/>
    </row>
    <row r="13" spans="2:15">
      <c r="B13" s="12"/>
      <c r="C13" s="7"/>
      <c r="D13" s="4"/>
      <c r="E13" s="4"/>
      <c r="F13" s="4"/>
      <c r="G13" s="4"/>
      <c r="J13" s="7"/>
      <c r="K13" s="2"/>
      <c r="L13" s="7"/>
      <c r="M13" s="1"/>
      <c r="N13" s="1"/>
      <c r="O13" s="1"/>
    </row>
    <row r="14" spans="2:15">
      <c r="B14" s="12">
        <v>0.05</v>
      </c>
      <c r="C14" s="7" t="s">
        <v>46</v>
      </c>
      <c r="D14" s="4">
        <f>'Company Wise Sales'!D29-'Company Wise Sales'!D24</f>
        <v>128938.52999999997</v>
      </c>
      <c r="E14" s="3">
        <f>D14*5/100</f>
        <v>6446.9264999999987</v>
      </c>
      <c r="J14" s="1" t="s">
        <v>50</v>
      </c>
      <c r="K14" s="2">
        <v>5</v>
      </c>
      <c r="L14" s="3">
        <f>D15+D17+D19+D21+D23+D25</f>
        <v>173323.31904761883</v>
      </c>
      <c r="M14" s="3"/>
      <c r="N14" s="3"/>
      <c r="O14" s="3"/>
    </row>
    <row r="15" spans="2:15">
      <c r="B15" s="12"/>
      <c r="C15" s="7" t="s">
        <v>47</v>
      </c>
      <c r="D15" s="4">
        <f>'Company Wise Sales'!D24</f>
        <v>29092.760000000002</v>
      </c>
      <c r="F15" s="3">
        <f>D15*2.5/100</f>
        <v>727.31900000000007</v>
      </c>
      <c r="G15" s="3">
        <f>F15</f>
        <v>727.31900000000007</v>
      </c>
      <c r="J15" s="7"/>
      <c r="K15" s="2">
        <v>12</v>
      </c>
      <c r="L15" s="3"/>
      <c r="M15" s="3"/>
      <c r="N15" s="3"/>
      <c r="O15" s="3"/>
    </row>
    <row r="16" spans="2:15">
      <c r="B16" s="2"/>
      <c r="C16" s="7" t="s">
        <v>52</v>
      </c>
      <c r="D16" s="4">
        <f>'Company Wise Sales'!D59-'Company Wise Sales'!D32</f>
        <v>112404.54999999987</v>
      </c>
      <c r="E16" s="3">
        <f>D16*5/100</f>
        <v>5620.2274999999927</v>
      </c>
      <c r="J16" s="7"/>
      <c r="K16" s="2"/>
      <c r="L16" s="3"/>
      <c r="M16" s="3"/>
      <c r="N16" s="3"/>
      <c r="O16" s="3"/>
    </row>
    <row r="17" spans="2:15">
      <c r="B17" s="12"/>
      <c r="C17" s="7" t="s">
        <v>53</v>
      </c>
      <c r="D17" s="4">
        <f>'Company Wise Sales'!D32</f>
        <v>22682.62</v>
      </c>
      <c r="F17" s="3">
        <f>+D17*B14/2</f>
        <v>567.06550000000004</v>
      </c>
      <c r="G17" s="3">
        <f>+F17</f>
        <v>567.06550000000004</v>
      </c>
      <c r="J17" s="7"/>
      <c r="K17" s="2"/>
      <c r="L17" s="3"/>
      <c r="M17" s="3"/>
      <c r="N17" s="3"/>
      <c r="O17" s="3"/>
    </row>
    <row r="18" spans="2:15">
      <c r="B18" s="2"/>
      <c r="C18" s="7" t="s">
        <v>54</v>
      </c>
      <c r="D18" s="4">
        <f>'Company Wise Sales'!B102-SALES!D19</f>
        <v>411122.09428571357</v>
      </c>
      <c r="E18" s="3">
        <f>+D18*5/100</f>
        <v>20556.104714285677</v>
      </c>
      <c r="J18" s="7"/>
      <c r="K18" s="2"/>
      <c r="L18" s="3"/>
      <c r="M18" s="3"/>
      <c r="N18" s="3"/>
      <c r="O18" s="3"/>
    </row>
    <row r="19" spans="2:15">
      <c r="B19" s="2"/>
      <c r="C19" s="7" t="s">
        <v>55</v>
      </c>
      <c r="D19" s="13">
        <f>'Company Wise Sales'!B96</f>
        <v>121547.93904761884</v>
      </c>
      <c r="F19" s="3">
        <f>+D19*B14/2</f>
        <v>3038.6984761904714</v>
      </c>
      <c r="G19" s="3">
        <f>+F19</f>
        <v>3038.6984761904714</v>
      </c>
      <c r="J19" s="1" t="s">
        <v>51</v>
      </c>
      <c r="K19" s="2">
        <v>5</v>
      </c>
      <c r="L19" s="3">
        <f>D14+D16+D18+D20+D22+D24+D39</f>
        <v>655703.75428571331</v>
      </c>
      <c r="M19" s="3"/>
      <c r="N19" s="3"/>
      <c r="O19" s="3"/>
    </row>
    <row r="20" spans="2:15">
      <c r="C20" s="7" t="s">
        <v>62</v>
      </c>
      <c r="D20" s="4"/>
      <c r="E20" s="3">
        <f>+D20*0.05</f>
        <v>0</v>
      </c>
      <c r="F20" s="3">
        <v>0</v>
      </c>
      <c r="G20" s="3">
        <v>0</v>
      </c>
      <c r="J20" s="7"/>
      <c r="K20" s="2">
        <v>12</v>
      </c>
      <c r="L20" s="3">
        <f>D29</f>
        <v>0</v>
      </c>
      <c r="M20" s="3"/>
      <c r="N20" s="3"/>
      <c r="O20" s="3"/>
    </row>
    <row r="21" spans="2:15">
      <c r="B21" s="2"/>
      <c r="C21" s="7" t="s">
        <v>63</v>
      </c>
      <c r="D21" s="13"/>
      <c r="F21" s="3">
        <f>+D21*2.5%</f>
        <v>0</v>
      </c>
      <c r="G21" s="3">
        <f>+F21</f>
        <v>0</v>
      </c>
      <c r="J21" s="7"/>
      <c r="K21" s="2"/>
      <c r="L21" s="3"/>
      <c r="M21" s="3"/>
      <c r="N21" s="3"/>
      <c r="O21" s="3"/>
    </row>
    <row r="22" spans="2:15" s="24" customFormat="1">
      <c r="B22" s="2"/>
      <c r="C22" s="24" t="s">
        <v>64</v>
      </c>
      <c r="D22" s="13"/>
      <c r="E22" s="3">
        <f>+D22*0.05</f>
        <v>0</v>
      </c>
      <c r="F22" s="3"/>
      <c r="G22" s="3"/>
      <c r="H22" s="3"/>
      <c r="K22" s="2"/>
      <c r="L22" s="3"/>
      <c r="M22" s="3"/>
      <c r="N22" s="3"/>
      <c r="O22" s="3"/>
    </row>
    <row r="23" spans="2:15" s="24" customFormat="1">
      <c r="B23" s="2"/>
      <c r="C23" s="24" t="s">
        <v>65</v>
      </c>
      <c r="D23" s="13"/>
      <c r="E23" s="3"/>
      <c r="F23" s="3">
        <f>+D23*2.5/100</f>
        <v>0</v>
      </c>
      <c r="G23" s="3">
        <f>+F23</f>
        <v>0</v>
      </c>
      <c r="H23" s="3"/>
      <c r="K23" s="2"/>
      <c r="L23" s="3"/>
      <c r="M23" s="3"/>
      <c r="N23" s="3"/>
      <c r="O23" s="3"/>
    </row>
    <row r="24" spans="2:15" s="28" customFormat="1">
      <c r="B24" s="2"/>
      <c r="C24" s="28" t="s">
        <v>70</v>
      </c>
      <c r="D24" s="13"/>
      <c r="E24" s="3">
        <f>D24*5/100</f>
        <v>0</v>
      </c>
      <c r="F24" s="3"/>
      <c r="G24" s="3"/>
      <c r="H24" s="3"/>
      <c r="K24" s="2"/>
      <c r="L24" s="3"/>
      <c r="M24" s="3"/>
      <c r="N24" s="3"/>
      <c r="O24" s="3"/>
    </row>
    <row r="25" spans="2:15" s="28" customFormat="1">
      <c r="B25" s="2"/>
      <c r="C25" s="28" t="s">
        <v>71</v>
      </c>
      <c r="D25" s="13"/>
      <c r="E25" s="3"/>
      <c r="F25" s="3">
        <f>D25*2.5/100</f>
        <v>0</v>
      </c>
      <c r="G25" s="3">
        <f>F25</f>
        <v>0</v>
      </c>
      <c r="H25" s="3"/>
      <c r="K25" s="2"/>
      <c r="L25" s="3"/>
      <c r="M25" s="3"/>
      <c r="N25" s="3"/>
      <c r="O25" s="3"/>
    </row>
    <row r="26" spans="2:15" s="28" customFormat="1">
      <c r="B26" s="2"/>
      <c r="D26" s="13"/>
      <c r="E26" s="3"/>
      <c r="F26" s="3"/>
      <c r="G26" s="3"/>
      <c r="H26" s="3"/>
      <c r="K26" s="2"/>
      <c r="L26" s="3"/>
      <c r="M26" s="3"/>
      <c r="N26" s="3"/>
      <c r="O26" s="3"/>
    </row>
    <row r="27" spans="2:15" s="28" customFormat="1">
      <c r="B27" s="2"/>
      <c r="D27" s="13"/>
      <c r="E27" s="3"/>
      <c r="F27" s="3"/>
      <c r="G27" s="3"/>
      <c r="H27" s="3"/>
      <c r="K27" s="2"/>
      <c r="L27" s="3"/>
      <c r="M27" s="3"/>
      <c r="N27" s="3"/>
      <c r="O27" s="3"/>
    </row>
    <row r="28" spans="2:15">
      <c r="B28" s="12"/>
      <c r="C28" s="7"/>
      <c r="D28" s="4"/>
      <c r="J28" s="17"/>
      <c r="K28" s="2"/>
      <c r="L28" s="3"/>
      <c r="M28" s="3"/>
      <c r="N28" s="3"/>
      <c r="O28" s="3"/>
    </row>
    <row r="29" spans="2:15" ht="15.75" thickBot="1">
      <c r="B29" s="12">
        <v>0.12</v>
      </c>
      <c r="C29" s="7" t="s">
        <v>54</v>
      </c>
      <c r="D29" s="4"/>
      <c r="E29" s="3">
        <f>+D29*B29</f>
        <v>0</v>
      </c>
      <c r="J29" s="7"/>
      <c r="K29" s="2"/>
      <c r="L29" s="5">
        <f>ROUND(SUM(L14:L28),0)</f>
        <v>829027</v>
      </c>
      <c r="M29" s="5">
        <f>ROUND(SUM(M14:M28),0)</f>
        <v>0</v>
      </c>
      <c r="N29" s="5">
        <f>ROUND(SUM(N14:N21),0)</f>
        <v>0</v>
      </c>
      <c r="O29" s="5">
        <f>+N29</f>
        <v>0</v>
      </c>
    </row>
    <row r="30" spans="2:15" ht="15.75" thickTop="1">
      <c r="B30" s="12"/>
      <c r="C30" s="7" t="s">
        <v>55</v>
      </c>
      <c r="D30" s="13"/>
      <c r="E30" s="13"/>
      <c r="F30" s="14">
        <f>+D30*B29/2</f>
        <v>0</v>
      </c>
      <c r="G30" s="14">
        <f>+F30</f>
        <v>0</v>
      </c>
      <c r="I30" s="23"/>
    </row>
    <row r="31" spans="2:15" ht="15.75" thickBot="1">
      <c r="B31" s="12"/>
      <c r="C31" s="7"/>
      <c r="D31" s="15">
        <f>SUM(D7:D30)</f>
        <v>825788.49333333236</v>
      </c>
      <c r="E31" s="15">
        <f>SUM(E7:E30)</f>
        <v>32623.258714285668</v>
      </c>
      <c r="F31" s="15">
        <f>SUM(F7:F30)</f>
        <v>4333.0829761904715</v>
      </c>
      <c r="G31" s="15">
        <f>SUM(G7:G30)</f>
        <v>4333.0829761904715</v>
      </c>
    </row>
    <row r="32" spans="2:15" ht="15.75" thickTop="1"/>
    <row r="34" spans="2:15">
      <c r="B34" s="2"/>
      <c r="C34" s="9" t="s">
        <v>56</v>
      </c>
      <c r="D34" s="18"/>
      <c r="G34" s="14"/>
    </row>
    <row r="35" spans="2:15">
      <c r="B35" s="2"/>
      <c r="C35" s="7"/>
      <c r="D35" s="13"/>
      <c r="E35" s="13"/>
      <c r="F35" s="13"/>
      <c r="G35" s="13"/>
      <c r="L35" s="23"/>
      <c r="M35" s="23"/>
      <c r="N35" s="23"/>
      <c r="O35" s="23"/>
    </row>
    <row r="36" spans="2:15" ht="15.75" thickBot="1">
      <c r="B36" s="2"/>
      <c r="C36" s="8" t="s">
        <v>4</v>
      </c>
      <c r="D36" s="5" t="s">
        <v>45</v>
      </c>
      <c r="E36" s="20" t="s">
        <v>0</v>
      </c>
      <c r="F36" s="20" t="s">
        <v>1</v>
      </c>
      <c r="G36" s="20" t="s">
        <v>2</v>
      </c>
      <c r="L36" s="23"/>
      <c r="M36" s="23"/>
      <c r="N36" s="23"/>
      <c r="O36" s="23"/>
    </row>
    <row r="37" spans="2:15" ht="15.75" thickTop="1">
      <c r="B37" s="12"/>
      <c r="C37" s="7"/>
      <c r="D37" s="4"/>
      <c r="E37" s="4"/>
      <c r="F37" s="4"/>
      <c r="G37" s="4"/>
    </row>
    <row r="38" spans="2:15">
      <c r="B38" s="12"/>
      <c r="C38" s="7"/>
      <c r="D38" s="4"/>
      <c r="E38" s="4"/>
      <c r="F38" s="4"/>
      <c r="G38" s="4"/>
    </row>
    <row r="39" spans="2:15">
      <c r="B39" s="12">
        <v>0.05</v>
      </c>
      <c r="C39" s="7" t="s">
        <v>46</v>
      </c>
      <c r="D39" s="4">
        <f>B2B!F5+B2B!F6+B2B!F7+B2B!F8</f>
        <v>3238.58</v>
      </c>
      <c r="E39" s="3">
        <f>+D39*5%</f>
        <v>161.929</v>
      </c>
    </row>
    <row r="40" spans="2:15">
      <c r="B40" s="2"/>
      <c r="C40" s="7" t="s">
        <v>47</v>
      </c>
      <c r="D40" s="13">
        <f>B2B!F9</f>
        <v>414.29</v>
      </c>
      <c r="E40" s="14"/>
      <c r="F40" s="3">
        <f>D40*2.5/100</f>
        <v>10.357250000000001</v>
      </c>
      <c r="G40" s="3">
        <f>F40</f>
        <v>10.357250000000001</v>
      </c>
    </row>
    <row r="41" spans="2:15" s="24" customFormat="1">
      <c r="B41" s="2"/>
      <c r="C41" s="24" t="s">
        <v>60</v>
      </c>
      <c r="D41" s="13"/>
      <c r="E41" s="14"/>
      <c r="F41" s="3">
        <f>+D41*2.5/100</f>
        <v>0</v>
      </c>
      <c r="G41" s="3">
        <f>+F41</f>
        <v>0</v>
      </c>
      <c r="H41" s="3"/>
      <c r="J41" s="2"/>
    </row>
    <row r="42" spans="2:15" s="24" customFormat="1">
      <c r="B42" s="2"/>
      <c r="D42" s="13"/>
      <c r="E42" s="14"/>
      <c r="F42" s="3"/>
      <c r="G42" s="3"/>
      <c r="H42" s="3"/>
      <c r="J42" s="2"/>
    </row>
    <row r="43" spans="2:15">
      <c r="B43" s="12"/>
      <c r="C43" s="7"/>
      <c r="D43" s="13"/>
      <c r="E43" s="14"/>
      <c r="F43" s="14"/>
      <c r="G43" s="14"/>
    </row>
    <row r="44" spans="2:15" ht="15.75" thickBot="1">
      <c r="B44" s="12"/>
      <c r="C44" s="7"/>
      <c r="D44" s="15">
        <f>SUM(D39:D43)</f>
        <v>3652.87</v>
      </c>
      <c r="E44" s="15">
        <f>SUM(E39:E43)</f>
        <v>161.929</v>
      </c>
      <c r="F44" s="15">
        <f>SUM(F39:F43)</f>
        <v>10.357250000000001</v>
      </c>
      <c r="G44" s="15">
        <f>SUM(G39:G43)</f>
        <v>10.357250000000001</v>
      </c>
    </row>
    <row r="45" spans="2:15" ht="15.75" thickTop="1">
      <c r="B45" s="2"/>
      <c r="C45" s="7"/>
    </row>
    <row r="46" spans="2:15">
      <c r="B46" s="2"/>
      <c r="C46" s="6" t="s">
        <v>57</v>
      </c>
      <c r="D46" s="13"/>
      <c r="E46" s="13"/>
      <c r="F46" s="13"/>
      <c r="G46" s="13"/>
    </row>
    <row r="47" spans="2:15">
      <c r="B47" s="2"/>
      <c r="C47" s="7"/>
      <c r="D47" s="13"/>
      <c r="E47" s="14"/>
      <c r="F47" s="14"/>
      <c r="G47" s="14"/>
    </row>
    <row r="48" spans="2:15" ht="15.75" thickBot="1">
      <c r="B48" s="2"/>
      <c r="C48" s="8" t="s">
        <v>4</v>
      </c>
      <c r="D48" s="5" t="s">
        <v>45</v>
      </c>
      <c r="E48" s="20" t="s">
        <v>0</v>
      </c>
      <c r="F48" s="20" t="s">
        <v>1</v>
      </c>
      <c r="G48" s="20" t="s">
        <v>2</v>
      </c>
    </row>
    <row r="49" spans="2:7" ht="15.75" thickTop="1">
      <c r="B49" s="12">
        <v>0.05</v>
      </c>
      <c r="C49" s="7"/>
      <c r="D49" s="14">
        <f>+SUM(D14:D25)+SUM(D39:D43)+SUM(D7:D9)</f>
        <v>829441.36333333235</v>
      </c>
      <c r="E49" s="14">
        <f t="shared" ref="E49:G49" si="0">+SUM(E14:E25)+SUM(E39:E43)+SUM(E7:E9)</f>
        <v>32785.187714285668</v>
      </c>
      <c r="F49" s="14">
        <f>+SUM(F14:F25)+SUM(F39:F43)+SUM(F7:F9)</f>
        <v>4343.4402261904715</v>
      </c>
      <c r="G49" s="14">
        <f t="shared" si="0"/>
        <v>4343.4402261904715</v>
      </c>
    </row>
    <row r="50" spans="2:7">
      <c r="B50" s="2"/>
      <c r="C50" s="7"/>
      <c r="D50" s="14"/>
      <c r="E50" s="21"/>
      <c r="F50" s="21"/>
      <c r="G50" s="21"/>
    </row>
    <row r="51" spans="2:7">
      <c r="B51" s="2"/>
      <c r="C51" s="7"/>
      <c r="D51" s="4"/>
      <c r="E51" s="4"/>
      <c r="F51" s="4"/>
      <c r="G51" s="4"/>
    </row>
    <row r="52" spans="2:7">
      <c r="B52" s="12">
        <v>0.12</v>
      </c>
      <c r="C52" s="7"/>
      <c r="D52" s="4">
        <f>+SUM(D29:D30)</f>
        <v>0</v>
      </c>
      <c r="E52" s="4">
        <f>+SUM(E29:E30)</f>
        <v>0</v>
      </c>
      <c r="F52" s="4">
        <f>+SUM(F29:F30)</f>
        <v>0</v>
      </c>
      <c r="G52" s="4">
        <f>+SUM(G29:G30)</f>
        <v>0</v>
      </c>
    </row>
    <row r="53" spans="2:7">
      <c r="B53" s="2"/>
      <c r="C53" s="7"/>
      <c r="D53" s="4"/>
      <c r="E53" s="4"/>
      <c r="F53" s="4"/>
      <c r="G53" s="4"/>
    </row>
    <row r="54" spans="2:7" ht="15.75" thickBot="1">
      <c r="B54" s="2"/>
      <c r="C54" s="7"/>
      <c r="D54" s="15">
        <f>+SUM(D49:D53)</f>
        <v>829441.36333333235</v>
      </c>
      <c r="E54" s="15">
        <f>+SUM(E49:E53)</f>
        <v>32785.187714285668</v>
      </c>
      <c r="F54" s="15">
        <f>+SUM(F49:F53)</f>
        <v>4343.4402261904715</v>
      </c>
      <c r="G54" s="15">
        <f>+SUM(G49:G53)</f>
        <v>4343.4402261904715</v>
      </c>
    </row>
    <row r="55" spans="2:7" ht="15.75" thickTop="1"/>
    <row r="57" spans="2:7">
      <c r="C57" s="3" t="s">
        <v>169</v>
      </c>
      <c r="D57" s="3">
        <f>D44</f>
        <v>3652.87</v>
      </c>
      <c r="E57" s="110">
        <f t="shared" ref="E57:G57" si="1">E44</f>
        <v>161.929</v>
      </c>
      <c r="F57" s="110">
        <f t="shared" si="1"/>
        <v>10.357250000000001</v>
      </c>
      <c r="G57" s="110">
        <f t="shared" si="1"/>
        <v>10.357250000000001</v>
      </c>
    </row>
    <row r="58" spans="2:7">
      <c r="C58" s="3" t="s">
        <v>174</v>
      </c>
      <c r="D58" s="3">
        <f>D31</f>
        <v>825788.49333333236</v>
      </c>
      <c r="E58" s="110">
        <f t="shared" ref="E58:G58" si="2">E31</f>
        <v>32623.258714285668</v>
      </c>
      <c r="F58" s="110">
        <f t="shared" si="2"/>
        <v>4333.0829761904715</v>
      </c>
      <c r="G58" s="110">
        <f t="shared" si="2"/>
        <v>4333.0829761904715</v>
      </c>
    </row>
    <row r="1048559" spans="4:4">
      <c r="D1048559" s="22"/>
    </row>
    <row r="1048570" spans="2:2">
      <c r="B1048570" s="12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67"/>
  <sheetViews>
    <sheetView tabSelected="1" topLeftCell="B1" zoomScale="85" zoomScaleNormal="85" workbookViewId="0">
      <selection activeCell="G8" sqref="G8"/>
    </sheetView>
  </sheetViews>
  <sheetFormatPr defaultRowHeight="14.25"/>
  <cols>
    <col min="1" max="1" width="12.28515625" style="32" customWidth="1"/>
    <col min="2" max="2" width="26.42578125" style="32" bestFit="1" customWidth="1"/>
    <col min="3" max="3" width="20.85546875" style="32" customWidth="1"/>
    <col min="4" max="4" width="17.42578125" style="32" customWidth="1"/>
    <col min="5" max="5" width="16.7109375" style="32" customWidth="1"/>
    <col min="6" max="6" width="15" style="32" bestFit="1" customWidth="1"/>
    <col min="7" max="7" width="17.28515625" style="32" customWidth="1"/>
    <col min="8" max="8" width="9.140625" style="32"/>
    <col min="9" max="9" width="26.7109375" style="32" bestFit="1" customWidth="1"/>
    <col min="10" max="10" width="19.42578125" style="32" customWidth="1"/>
    <col min="11" max="12" width="17.7109375" style="32" bestFit="1" customWidth="1"/>
    <col min="13" max="13" width="18.5703125" style="32" bestFit="1" customWidth="1"/>
    <col min="14" max="14" width="10.5703125" style="32" bestFit="1" customWidth="1"/>
    <col min="15" max="15" width="10.85546875" style="32" customWidth="1"/>
    <col min="16" max="17" width="9.5703125" style="32" bestFit="1" customWidth="1"/>
    <col min="18" max="16384" width="9.140625" style="32"/>
  </cols>
  <sheetData>
    <row r="4" spans="2:17">
      <c r="D4" s="33" t="s">
        <v>3</v>
      </c>
    </row>
    <row r="5" spans="2:17" ht="15" thickBot="1">
      <c r="B5" s="34" t="s">
        <v>4</v>
      </c>
      <c r="C5" s="34" t="s">
        <v>5</v>
      </c>
      <c r="D5" s="34" t="s">
        <v>0</v>
      </c>
      <c r="E5" s="34" t="s">
        <v>1</v>
      </c>
      <c r="F5" s="34" t="s">
        <v>2</v>
      </c>
      <c r="I5" s="34" t="s">
        <v>6</v>
      </c>
      <c r="J5" s="34" t="s">
        <v>0</v>
      </c>
      <c r="K5" s="34" t="s">
        <v>1</v>
      </c>
      <c r="L5" s="34" t="s">
        <v>2</v>
      </c>
      <c r="M5" s="44"/>
    </row>
    <row r="6" spans="2:17" ht="15" thickTop="1">
      <c r="C6" s="35"/>
      <c r="D6" s="35"/>
      <c r="E6" s="35"/>
      <c r="F6" s="35"/>
      <c r="I6" s="32" t="s">
        <v>8</v>
      </c>
      <c r="J6" s="36">
        <v>1016066</v>
      </c>
      <c r="K6" s="36">
        <v>578157</v>
      </c>
      <c r="L6" s="36">
        <v>578157</v>
      </c>
    </row>
    <row r="7" spans="2:17" ht="15">
      <c r="B7" s="32" t="s">
        <v>16</v>
      </c>
      <c r="C7" s="3">
        <f>Input!I22</f>
        <v>485346.38999999996</v>
      </c>
      <c r="D7" s="110">
        <f>Input!J22</f>
        <v>42743.01</v>
      </c>
      <c r="E7" s="110">
        <f>Input!K22</f>
        <v>6145.9800000000005</v>
      </c>
      <c r="F7" s="110">
        <f>Input!L22</f>
        <v>6145.9800000000005</v>
      </c>
      <c r="G7" s="35"/>
      <c r="I7" s="32" t="s">
        <v>10</v>
      </c>
      <c r="J7" s="35">
        <f>ROUND(D11,0)</f>
        <v>42446</v>
      </c>
      <c r="K7" s="35">
        <f>ROUND(E11,0)</f>
        <v>6146</v>
      </c>
      <c r="L7" s="35">
        <f>ROUND(F11,0)</f>
        <v>6146</v>
      </c>
      <c r="M7" s="44">
        <f>J7-J8</f>
        <v>42446</v>
      </c>
    </row>
    <row r="8" spans="2:17">
      <c r="B8" s="37" t="s">
        <v>31</v>
      </c>
      <c r="C8" s="35">
        <f>'Credit Note'!J10</f>
        <v>1648.63</v>
      </c>
      <c r="D8" s="35">
        <f>'Credit Note'!K10</f>
        <v>296.75</v>
      </c>
      <c r="E8" s="35">
        <f>'Credit Note'!L10</f>
        <v>0</v>
      </c>
      <c r="F8" s="35">
        <f>'Credit Note'!M10</f>
        <v>0</v>
      </c>
      <c r="I8" s="59"/>
      <c r="J8" s="58"/>
      <c r="K8" s="58"/>
      <c r="L8" s="58"/>
    </row>
    <row r="9" spans="2:17">
      <c r="B9" s="37" t="s">
        <v>59</v>
      </c>
      <c r="C9" s="40"/>
      <c r="D9" s="40"/>
      <c r="E9" s="40"/>
      <c r="F9" s="40"/>
      <c r="J9" s="38">
        <f>SUM(J5:J7)-J8</f>
        <v>1058512</v>
      </c>
      <c r="K9" s="38">
        <f>SUM(K5:K7)</f>
        <v>584303</v>
      </c>
      <c r="L9" s="38">
        <f>SUM(L5:L7)</f>
        <v>584303</v>
      </c>
      <c r="M9" s="39">
        <f>J9+K9+L9</f>
        <v>2227118</v>
      </c>
    </row>
    <row r="10" spans="2:17">
      <c r="B10" s="37"/>
      <c r="C10" s="40"/>
      <c r="D10" s="40"/>
      <c r="E10" s="40"/>
      <c r="F10" s="40"/>
      <c r="J10" s="41"/>
      <c r="K10" s="41"/>
      <c r="L10" s="41"/>
    </row>
    <row r="11" spans="2:17" ht="15" thickBot="1">
      <c r="C11" s="42">
        <f>+C7-C8</f>
        <v>483697.75999999995</v>
      </c>
      <c r="D11" s="42">
        <f>+D7-D8+D9</f>
        <v>42446.26</v>
      </c>
      <c r="E11" s="42">
        <f>+E7-E8+E9</f>
        <v>6145.9800000000005</v>
      </c>
      <c r="F11" s="42">
        <f>+F7-F8+F9</f>
        <v>6145.9800000000005</v>
      </c>
      <c r="I11" s="32" t="s">
        <v>9</v>
      </c>
      <c r="J11" s="35">
        <f>+D18</f>
        <v>32785.187714285668</v>
      </c>
      <c r="K11" s="35">
        <f>+E18</f>
        <v>4343.4402261904715</v>
      </c>
      <c r="L11" s="35">
        <f>+F18</f>
        <v>4343.4402261904715</v>
      </c>
      <c r="N11" s="44"/>
      <c r="O11" s="35"/>
      <c r="P11" s="35"/>
      <c r="Q11" s="35"/>
    </row>
    <row r="12" spans="2:17" ht="15" thickTop="1">
      <c r="J12" s="43"/>
      <c r="K12" s="43"/>
      <c r="L12" s="43"/>
      <c r="O12" s="35"/>
      <c r="P12" s="35"/>
      <c r="Q12" s="35"/>
    </row>
    <row r="13" spans="2:17">
      <c r="D13" s="33" t="s">
        <v>7</v>
      </c>
      <c r="J13" s="38">
        <f>J11</f>
        <v>32785.187714285668</v>
      </c>
      <c r="K13" s="38">
        <f>ROUND(K11,0)</f>
        <v>4343</v>
      </c>
      <c r="L13" s="38">
        <f>ROUND(L11,0)</f>
        <v>4343</v>
      </c>
      <c r="M13" s="39"/>
      <c r="O13" s="35"/>
      <c r="P13" s="35"/>
      <c r="Q13" s="35"/>
    </row>
    <row r="14" spans="2:17" ht="15" thickBot="1">
      <c r="B14" s="34" t="s">
        <v>4</v>
      </c>
      <c r="C14" s="34" t="s">
        <v>5</v>
      </c>
      <c r="D14" s="34" t="s">
        <v>0</v>
      </c>
      <c r="E14" s="34" t="s">
        <v>1</v>
      </c>
      <c r="F14" s="34" t="s">
        <v>2</v>
      </c>
      <c r="G14" s="34" t="s">
        <v>15</v>
      </c>
      <c r="O14" s="35"/>
      <c r="P14" s="35"/>
      <c r="Q14" s="35"/>
    </row>
    <row r="15" spans="2:17" ht="15" thickTop="1">
      <c r="C15" s="47"/>
      <c r="D15" s="35"/>
      <c r="E15" s="35"/>
      <c r="F15" s="35"/>
      <c r="I15" s="46" t="s">
        <v>11</v>
      </c>
      <c r="J15" s="41">
        <f>ROUND(J13,0)</f>
        <v>32785</v>
      </c>
      <c r="K15" s="41">
        <f>ROUND(K13,0)</f>
        <v>4343</v>
      </c>
      <c r="L15" s="41">
        <f>ROUND(L13,0)</f>
        <v>4343</v>
      </c>
      <c r="O15" s="35"/>
      <c r="P15" s="35"/>
      <c r="Q15" s="35"/>
    </row>
    <row r="16" spans="2:17">
      <c r="B16" s="32" t="s">
        <v>27</v>
      </c>
      <c r="C16" s="41">
        <f>SALES!D54</f>
        <v>829441.36333333235</v>
      </c>
      <c r="D16" s="41">
        <f>SALES!E54</f>
        <v>32785.187714285668</v>
      </c>
      <c r="E16" s="41">
        <f>SALES!F54</f>
        <v>4343.4402261904715</v>
      </c>
      <c r="F16" s="41">
        <f>SALES!G54</f>
        <v>4343.4402261904715</v>
      </c>
      <c r="I16" s="46" t="s">
        <v>18</v>
      </c>
      <c r="J16" s="41"/>
      <c r="K16" s="41"/>
      <c r="L16" s="41"/>
      <c r="M16" s="39"/>
    </row>
    <row r="17" spans="2:17">
      <c r="B17" s="32" t="s">
        <v>68</v>
      </c>
      <c r="C17" s="48"/>
      <c r="D17" s="35"/>
      <c r="E17" s="35"/>
      <c r="F17" s="35"/>
      <c r="I17" s="46" t="s">
        <v>17</v>
      </c>
      <c r="J17" s="35">
        <f>+J15-J16</f>
        <v>32785</v>
      </c>
      <c r="K17" s="35">
        <f>+K15-K16</f>
        <v>4343</v>
      </c>
      <c r="L17" s="35">
        <f>+L15-L16</f>
        <v>4343</v>
      </c>
      <c r="O17" s="44"/>
      <c r="P17" s="44"/>
      <c r="Q17" s="44"/>
    </row>
    <row r="18" spans="2:17" ht="15" thickBot="1">
      <c r="C18" s="42">
        <f>SUM(C15:C17)</f>
        <v>829441.36333333235</v>
      </c>
      <c r="D18" s="42">
        <f>D16-D17</f>
        <v>32785.187714285668</v>
      </c>
      <c r="E18" s="42">
        <f t="shared" ref="E18:F18" si="0">E16+E17</f>
        <v>4343.4402261904715</v>
      </c>
      <c r="F18" s="42">
        <f t="shared" si="0"/>
        <v>4343.4402261904715</v>
      </c>
      <c r="G18" s="39"/>
      <c r="I18" s="46" t="s">
        <v>22</v>
      </c>
      <c r="J18" s="35"/>
      <c r="K18" s="35"/>
      <c r="L18" s="35"/>
      <c r="M18" s="49"/>
    </row>
    <row r="19" spans="2:17" ht="15" thickTop="1">
      <c r="C19" s="35"/>
      <c r="D19" s="35"/>
      <c r="E19" s="35"/>
      <c r="F19" s="35"/>
      <c r="I19" s="46" t="s">
        <v>23</v>
      </c>
      <c r="J19" s="39"/>
      <c r="K19" s="44"/>
      <c r="L19" s="35"/>
      <c r="N19" s="35"/>
      <c r="O19" s="35"/>
      <c r="P19" s="35"/>
    </row>
    <row r="20" spans="2:17">
      <c r="D20" s="33" t="s">
        <v>25</v>
      </c>
      <c r="I20" s="32" t="s">
        <v>24</v>
      </c>
      <c r="J20" s="38">
        <f>+J15-SUM(J16:J19)</f>
        <v>0</v>
      </c>
      <c r="K20" s="38">
        <f>+K15-SUM(K16:K19)</f>
        <v>0</v>
      </c>
      <c r="L20" s="38">
        <f>+L15-SUM(L16:L19)</f>
        <v>0</v>
      </c>
      <c r="M20" s="50">
        <f>ROUND(SUM(J20:L20),0)</f>
        <v>0</v>
      </c>
    </row>
    <row r="21" spans="2:17" ht="15" thickBot="1">
      <c r="B21" s="34" t="s">
        <v>4</v>
      </c>
      <c r="C21" s="34" t="s">
        <v>5</v>
      </c>
      <c r="D21" s="34" t="s">
        <v>0</v>
      </c>
      <c r="E21" s="34" t="s">
        <v>1</v>
      </c>
      <c r="F21" s="34" t="s">
        <v>2</v>
      </c>
      <c r="I21" s="49" t="s">
        <v>8</v>
      </c>
      <c r="J21" s="51">
        <f>ROUND(J9-SUM(J17:L17),0)</f>
        <v>1017041</v>
      </c>
      <c r="K21" s="51">
        <f>+K9-K18-J18</f>
        <v>584303</v>
      </c>
      <c r="L21" s="51">
        <f>+L9-L19-J19</f>
        <v>584303</v>
      </c>
      <c r="M21" s="32" t="s">
        <v>8</v>
      </c>
    </row>
    <row r="22" spans="2:17" ht="15" thickTop="1">
      <c r="B22" s="52" t="s">
        <v>93</v>
      </c>
      <c r="C22" s="63"/>
      <c r="D22" s="30"/>
      <c r="E22" s="30"/>
      <c r="F22" s="35"/>
      <c r="G22" s="39"/>
      <c r="I22" s="45" t="s">
        <v>30</v>
      </c>
      <c r="J22" s="35"/>
      <c r="K22" s="35"/>
      <c r="L22" s="35"/>
      <c r="M22" s="39">
        <f>+K22+L22</f>
        <v>0</v>
      </c>
    </row>
    <row r="23" spans="2:17">
      <c r="B23" s="32" t="s">
        <v>83</v>
      </c>
      <c r="C23" s="40">
        <v>532670.1</v>
      </c>
      <c r="D23" s="40"/>
      <c r="E23" s="40"/>
      <c r="F23" s="40"/>
      <c r="G23" s="35"/>
      <c r="I23" s="32" t="s">
        <v>66</v>
      </c>
      <c r="J23" s="41"/>
      <c r="K23" s="41"/>
      <c r="L23" s="41"/>
      <c r="M23" s="44"/>
    </row>
    <row r="24" spans="2:17">
      <c r="B24" s="30" t="s">
        <v>29</v>
      </c>
      <c r="C24" s="40"/>
      <c r="D24" s="60"/>
      <c r="E24" s="60"/>
      <c r="F24" s="60"/>
      <c r="G24" s="35"/>
      <c r="J24" s="41"/>
      <c r="K24" s="41"/>
      <c r="L24" s="41"/>
      <c r="M24" s="44"/>
    </row>
    <row r="25" spans="2:17">
      <c r="B25" s="32" t="s">
        <v>41</v>
      </c>
      <c r="C25" s="60">
        <v>135212</v>
      </c>
      <c r="D25" s="60"/>
      <c r="E25" s="60"/>
      <c r="F25" s="60"/>
      <c r="G25" s="35"/>
      <c r="I25" s="32" t="s">
        <v>20</v>
      </c>
      <c r="J25" s="41">
        <v>16156</v>
      </c>
      <c r="K25" s="41">
        <v>2035</v>
      </c>
      <c r="L25" s="41">
        <v>2035</v>
      </c>
      <c r="M25" s="102"/>
    </row>
    <row r="26" spans="2:17">
      <c r="B26" s="53" t="s">
        <v>43</v>
      </c>
      <c r="C26" s="60">
        <v>161684</v>
      </c>
      <c r="D26" s="60"/>
      <c r="E26" s="60"/>
      <c r="F26" s="60"/>
      <c r="G26" s="35"/>
      <c r="I26" s="32" t="s">
        <v>90</v>
      </c>
      <c r="J26" s="43">
        <f>+ROUND(D30,0)</f>
        <v>0</v>
      </c>
      <c r="K26" s="43">
        <f>+ROUND(E30,0)</f>
        <v>0</v>
      </c>
      <c r="L26" s="43">
        <f>+ROUND(F30,0)</f>
        <v>0</v>
      </c>
    </row>
    <row r="27" spans="2:17">
      <c r="B27" s="53" t="s">
        <v>42</v>
      </c>
      <c r="C27" s="61"/>
      <c r="D27" s="62"/>
      <c r="E27" s="60"/>
      <c r="F27" s="48"/>
      <c r="G27" s="35"/>
      <c r="I27" s="32" t="s">
        <v>21</v>
      </c>
      <c r="J27" s="41">
        <f>ROUND(J25+J26,0)</f>
        <v>16156</v>
      </c>
      <c r="K27" s="41">
        <f>ROUND(K25+K26,0)</f>
        <v>2035</v>
      </c>
      <c r="L27" s="41">
        <f>ROUND(L25+L26,0)</f>
        <v>2035</v>
      </c>
    </row>
    <row r="28" spans="2:17">
      <c r="B28" s="32" t="s">
        <v>61</v>
      </c>
      <c r="C28" s="60"/>
      <c r="D28" s="48"/>
      <c r="E28" s="48"/>
      <c r="F28" s="48"/>
      <c r="G28" s="35"/>
      <c r="I28" s="32" t="s">
        <v>26</v>
      </c>
      <c r="J28" s="41">
        <f>J16</f>
        <v>0</v>
      </c>
      <c r="K28" s="41">
        <f>K16</f>
        <v>0</v>
      </c>
      <c r="L28" s="41">
        <f>L16</f>
        <v>0</v>
      </c>
    </row>
    <row r="29" spans="2:17" ht="15" thickBot="1">
      <c r="B29" s="55"/>
      <c r="C29" s="40"/>
      <c r="D29" s="40"/>
      <c r="E29" s="40"/>
      <c r="F29" s="40"/>
      <c r="I29" s="32" t="s">
        <v>19</v>
      </c>
      <c r="J29" s="54">
        <f>+J27-J28</f>
        <v>16156</v>
      </c>
      <c r="K29" s="54">
        <f>+K27-K28</f>
        <v>2035</v>
      </c>
      <c r="L29" s="54">
        <f>+L27-L28</f>
        <v>2035</v>
      </c>
    </row>
    <row r="30" spans="2:17" ht="15.75" thickTop="1" thickBot="1">
      <c r="C30" s="56">
        <f>SUM(C23:C29)</f>
        <v>829566.1</v>
      </c>
      <c r="D30" s="56">
        <f>SUM(D23:D29)</f>
        <v>0</v>
      </c>
      <c r="E30" s="56">
        <f>SUM(E23:E29)</f>
        <v>0</v>
      </c>
      <c r="F30" s="56">
        <f>SUM(F23:F29)</f>
        <v>0</v>
      </c>
      <c r="G30" s="32" t="s">
        <v>168</v>
      </c>
      <c r="I30" s="46"/>
      <c r="J30" s="41"/>
    </row>
    <row r="31" spans="2:17" ht="15" thickTop="1">
      <c r="D31" s="48"/>
      <c r="E31" s="48"/>
      <c r="F31" s="35"/>
    </row>
    <row r="32" spans="2:17">
      <c r="B32" s="30"/>
      <c r="C32" s="29"/>
      <c r="D32" s="30"/>
      <c r="E32" s="30"/>
      <c r="F32" s="35"/>
      <c r="I32" s="33" t="s">
        <v>67</v>
      </c>
      <c r="J32" s="57"/>
      <c r="K32" s="57"/>
      <c r="L32" s="57"/>
    </row>
    <row r="33" spans="1:13">
      <c r="B33" s="30"/>
      <c r="C33" s="29"/>
      <c r="D33" s="30"/>
      <c r="E33" s="30"/>
      <c r="F33" s="35"/>
      <c r="I33" s="57" t="s">
        <v>92</v>
      </c>
      <c r="J33" s="57"/>
      <c r="K33" s="57"/>
      <c r="L33" s="57"/>
      <c r="M33" s="102">
        <f>K33+L33</f>
        <v>0</v>
      </c>
    </row>
    <row r="34" spans="1:13">
      <c r="B34" s="30"/>
      <c r="C34" s="29"/>
      <c r="D34" s="64"/>
      <c r="E34" s="30"/>
      <c r="F34" s="35"/>
      <c r="I34" s="33"/>
      <c r="J34" s="57"/>
      <c r="K34" s="57"/>
      <c r="L34" s="57"/>
    </row>
    <row r="35" spans="1:13" s="84" customFormat="1" ht="12.75"/>
    <row r="36" spans="1:13" s="84" customFormat="1" ht="12.75">
      <c r="A36" s="86" t="s">
        <v>82</v>
      </c>
      <c r="B36" s="86"/>
      <c r="D36" s="85"/>
    </row>
    <row r="37" spans="1:13" s="84" customFormat="1" ht="15">
      <c r="B37" s="101"/>
      <c r="C37" s="26"/>
      <c r="D37" s="85"/>
    </row>
    <row r="38" spans="1:13" s="84" customFormat="1" ht="12.75">
      <c r="D38" s="85"/>
    </row>
    <row r="39" spans="1:13" s="84" customFormat="1" ht="13.5" thickBot="1">
      <c r="B39" s="87" t="s">
        <v>74</v>
      </c>
      <c r="C39" s="87"/>
      <c r="D39" s="88">
        <f>+C30-C18</f>
        <v>124.73666666762438</v>
      </c>
    </row>
    <row r="40" spans="1:13" s="84" customFormat="1" ht="13.5" thickTop="1">
      <c r="B40" s="97"/>
      <c r="C40" s="97"/>
      <c r="D40" s="98"/>
    </row>
    <row r="41" spans="1:13" s="84" customFormat="1" ht="12.75">
      <c r="B41" s="99" t="s">
        <v>88</v>
      </c>
      <c r="C41" s="97"/>
      <c r="D41" s="98"/>
    </row>
    <row r="42" spans="1:13" s="84" customFormat="1" ht="12.75">
      <c r="B42" s="97"/>
      <c r="C42" s="97"/>
      <c r="D42" s="98"/>
    </row>
    <row r="43" spans="1:13" s="84" customFormat="1" ht="12.75">
      <c r="B43" s="84" t="s">
        <v>72</v>
      </c>
      <c r="D43" s="85"/>
    </row>
    <row r="45" spans="1:13">
      <c r="B45" s="32" t="s">
        <v>170</v>
      </c>
      <c r="C45" s="44">
        <f>C26-B2B!F12-'Company Wise Sales'!D29</f>
        <v>-0.15999999997438863</v>
      </c>
      <c r="D45" s="35"/>
      <c r="E45" s="39"/>
    </row>
    <row r="46" spans="1:13">
      <c r="B46" s="32" t="s">
        <v>91</v>
      </c>
      <c r="D46" s="35"/>
    </row>
    <row r="47" spans="1:13">
      <c r="B47" s="32" t="s">
        <v>85</v>
      </c>
      <c r="C47" s="44">
        <f>C23-'Company Wise Sales'!B102</f>
        <v>6.6666667582467198E-2</v>
      </c>
      <c r="D47" s="35"/>
    </row>
    <row r="48" spans="1:13" ht="15" thickBot="1">
      <c r="B48" s="89" t="s">
        <v>73</v>
      </c>
      <c r="C48" s="113">
        <f>SUM(C45:C47)</f>
        <v>-9.3333332391921431E-2</v>
      </c>
      <c r="D48" s="42">
        <f>+SUM(D43:D46)</f>
        <v>0</v>
      </c>
    </row>
    <row r="49" spans="2:4" ht="15" thickTop="1">
      <c r="B49" s="100" t="s">
        <v>84</v>
      </c>
    </row>
    <row r="50" spans="2:4">
      <c r="B50" s="32" t="s">
        <v>69</v>
      </c>
      <c r="C50" s="44"/>
      <c r="D50" s="39">
        <f>C25-'Company Wise Sales'!D59</f>
        <v>124.83000000013271</v>
      </c>
    </row>
    <row r="66" spans="2:3" ht="15">
      <c r="B66" s="109" t="s">
        <v>94</v>
      </c>
      <c r="C66" s="115">
        <v>610510</v>
      </c>
    </row>
    <row r="67" spans="2:3" ht="15">
      <c r="B67" s="109" t="s">
        <v>95</v>
      </c>
      <c r="C67" s="115">
        <v>61119090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topLeftCell="A13" zoomScaleNormal="100" workbookViewId="0">
      <selection activeCell="E22" sqref="E22"/>
    </sheetView>
  </sheetViews>
  <sheetFormatPr defaultRowHeight="15"/>
  <cols>
    <col min="1" max="1" width="15.28515625" style="67" bestFit="1" customWidth="1"/>
    <col min="2" max="2" width="15.5703125" style="70" bestFit="1" customWidth="1"/>
    <col min="3" max="3" width="32.28515625" style="67" customWidth="1"/>
    <col min="4" max="4" width="18.140625" style="67" bestFit="1" customWidth="1"/>
    <col min="5" max="5" width="15.140625" style="65" bestFit="1" customWidth="1"/>
    <col min="6" max="6" width="18.140625" style="65" bestFit="1" customWidth="1"/>
    <col min="7" max="7" width="9.42578125" style="71" bestFit="1" customWidth="1"/>
    <col min="8" max="8" width="10" style="65" bestFit="1" customWidth="1"/>
    <col min="9" max="9" width="15" style="65" bestFit="1" customWidth="1"/>
    <col min="10" max="10" width="13.28515625" style="65" customWidth="1"/>
    <col min="11" max="11" width="16.85546875" style="65" bestFit="1" customWidth="1"/>
    <col min="12" max="12" width="14.42578125" style="67" bestFit="1" customWidth="1"/>
    <col min="13" max="13" width="16.5703125" style="67" bestFit="1" customWidth="1"/>
    <col min="14" max="16384" width="9.140625" style="67"/>
  </cols>
  <sheetData>
    <row r="2" spans="1:13">
      <c r="A2" s="66" t="s">
        <v>58</v>
      </c>
      <c r="B2" s="67"/>
      <c r="G2" s="67"/>
      <c r="K2" s="67"/>
    </row>
    <row r="4" spans="1:13" s="83" customFormat="1" ht="27.75" customHeight="1">
      <c r="A4" s="79" t="s">
        <v>33</v>
      </c>
      <c r="B4" s="80" t="s">
        <v>12</v>
      </c>
      <c r="C4" s="79" t="s">
        <v>38</v>
      </c>
      <c r="D4" s="79" t="s">
        <v>13</v>
      </c>
      <c r="E4" s="92" t="s">
        <v>32</v>
      </c>
      <c r="F4" s="92" t="s">
        <v>34</v>
      </c>
      <c r="G4" s="81" t="s">
        <v>14</v>
      </c>
      <c r="H4" s="92" t="s">
        <v>37</v>
      </c>
      <c r="I4" s="92" t="s">
        <v>35</v>
      </c>
      <c r="J4" s="92" t="s">
        <v>36</v>
      </c>
      <c r="K4" s="81" t="s">
        <v>28</v>
      </c>
      <c r="L4" s="82" t="s">
        <v>39</v>
      </c>
      <c r="M4" s="82" t="s">
        <v>40</v>
      </c>
    </row>
    <row r="5" spans="1:13" s="31" customFormat="1">
      <c r="A5" s="109" t="s">
        <v>185</v>
      </c>
      <c r="B5" s="114">
        <v>46259.754895833335</v>
      </c>
      <c r="C5" s="109" t="s">
        <v>190</v>
      </c>
      <c r="D5" s="109" t="s">
        <v>195</v>
      </c>
      <c r="E5" s="112">
        <f>F5+H5+I5+J5</f>
        <v>495.50550000000004</v>
      </c>
      <c r="F5" s="109">
        <v>471.91</v>
      </c>
      <c r="G5" s="109">
        <v>5</v>
      </c>
      <c r="H5" s="112">
        <f>F5*5/100</f>
        <v>23.595500000000001</v>
      </c>
      <c r="I5" s="110"/>
      <c r="J5" s="110"/>
      <c r="L5" s="78"/>
      <c r="M5" s="96"/>
    </row>
    <row r="6" spans="1:13" s="69" customFormat="1" ht="12" customHeight="1">
      <c r="A6" s="109" t="s">
        <v>186</v>
      </c>
      <c r="B6" s="114">
        <v>46263.717094907406</v>
      </c>
      <c r="C6" s="109" t="s">
        <v>191</v>
      </c>
      <c r="D6" s="109" t="s">
        <v>196</v>
      </c>
      <c r="E6" s="112">
        <f t="shared" ref="E6:E9" si="0">F6+H6+I6+J6</f>
        <v>1584.492</v>
      </c>
      <c r="F6" s="109">
        <v>1509.04</v>
      </c>
      <c r="G6" s="109"/>
      <c r="H6" s="112">
        <f t="shared" ref="H6:H8" si="1">F6*5/100</f>
        <v>75.451999999999998</v>
      </c>
      <c r="I6" s="110"/>
      <c r="J6" s="110"/>
      <c r="K6" s="31"/>
      <c r="L6" s="73"/>
      <c r="M6" s="74"/>
    </row>
    <row r="7" spans="1:13" s="69" customFormat="1">
      <c r="A7" s="109" t="s">
        <v>182</v>
      </c>
      <c r="B7" s="114">
        <v>46236.951527777775</v>
      </c>
      <c r="C7" s="109" t="s">
        <v>187</v>
      </c>
      <c r="D7" s="109" t="s">
        <v>192</v>
      </c>
      <c r="E7" s="112">
        <f t="shared" si="0"/>
        <v>924.99750000000006</v>
      </c>
      <c r="F7" s="109">
        <v>880.95</v>
      </c>
      <c r="G7" s="109">
        <v>5</v>
      </c>
      <c r="H7" s="112">
        <f t="shared" si="1"/>
        <v>44.047499999999999</v>
      </c>
      <c r="I7" s="109"/>
      <c r="J7" s="109"/>
      <c r="K7" s="31"/>
      <c r="L7" s="78"/>
      <c r="M7" s="96"/>
    </row>
    <row r="8" spans="1:13" s="69" customFormat="1">
      <c r="A8" s="109" t="s">
        <v>184</v>
      </c>
      <c r="B8" s="114">
        <v>46254.932025462964</v>
      </c>
      <c r="C8" s="109" t="s">
        <v>189</v>
      </c>
      <c r="D8" s="109" t="s">
        <v>194</v>
      </c>
      <c r="E8" s="112">
        <f t="shared" si="0"/>
        <v>395.51400000000001</v>
      </c>
      <c r="F8" s="109">
        <v>376.68</v>
      </c>
      <c r="G8" s="109">
        <v>5</v>
      </c>
      <c r="H8" s="112">
        <f t="shared" si="1"/>
        <v>18.834</v>
      </c>
      <c r="I8" s="110"/>
      <c r="J8" s="110"/>
      <c r="K8" s="109"/>
      <c r="L8" s="78"/>
      <c r="M8" s="96"/>
    </row>
    <row r="9" spans="1:13" s="69" customFormat="1">
      <c r="A9" s="109" t="s">
        <v>183</v>
      </c>
      <c r="B9" s="114">
        <v>46250.068645833337</v>
      </c>
      <c r="C9" s="109" t="s">
        <v>188</v>
      </c>
      <c r="D9" s="109" t="s">
        <v>193</v>
      </c>
      <c r="E9" s="112">
        <f t="shared" si="0"/>
        <v>435.00450000000006</v>
      </c>
      <c r="F9" s="109">
        <v>414.29</v>
      </c>
      <c r="G9" s="115">
        <v>5</v>
      </c>
      <c r="H9" s="116"/>
      <c r="I9" s="115">
        <f>F9*2.5/100</f>
        <v>10.357250000000001</v>
      </c>
      <c r="J9" s="115">
        <f>I9</f>
        <v>10.357250000000001</v>
      </c>
      <c r="K9" s="115"/>
      <c r="L9" s="78"/>
      <c r="M9" s="96"/>
    </row>
    <row r="10" spans="1:13" s="94" customFormat="1">
      <c r="A10" s="6"/>
      <c r="B10" s="103"/>
      <c r="C10" s="31"/>
      <c r="D10" s="31"/>
      <c r="E10" s="3"/>
      <c r="F10" s="3"/>
      <c r="G10" s="31"/>
      <c r="H10" s="3"/>
      <c r="I10" s="3"/>
      <c r="J10" s="3"/>
      <c r="K10" s="31"/>
      <c r="L10" s="73"/>
      <c r="M10" s="74"/>
    </row>
    <row r="11" spans="1:13" s="94" customFormat="1">
      <c r="A11" s="31"/>
      <c r="B11" s="103"/>
      <c r="C11" s="31"/>
      <c r="D11" s="31"/>
      <c r="E11" s="3"/>
      <c r="F11" s="3"/>
      <c r="G11" s="31"/>
      <c r="H11" s="3"/>
      <c r="I11" s="3"/>
      <c r="J11" s="3"/>
      <c r="K11" s="31"/>
      <c r="L11" s="31"/>
      <c r="M11" s="74"/>
    </row>
    <row r="12" spans="1:13" s="69" customFormat="1" ht="15.75" thickBot="1">
      <c r="A12" s="67"/>
      <c r="B12" s="103"/>
      <c r="C12" s="67"/>
      <c r="D12" s="67"/>
      <c r="E12" s="107">
        <f>SUM(E5:E11)</f>
        <v>3835.5135</v>
      </c>
      <c r="F12" s="107">
        <f>SUM(F5:F11)</f>
        <v>3652.87</v>
      </c>
      <c r="G12" s="107"/>
      <c r="H12" s="107">
        <f>SUM(H5:H11)</f>
        <v>161.929</v>
      </c>
      <c r="I12" s="107">
        <f>SUM(I5:I11)</f>
        <v>10.357250000000001</v>
      </c>
      <c r="J12" s="107">
        <f>SUM(J5:J11)</f>
        <v>10.357250000000001</v>
      </c>
      <c r="K12" s="75"/>
      <c r="L12" s="73"/>
      <c r="M12" s="73"/>
    </row>
    <row r="13" spans="1:13" s="68" customFormat="1" ht="15.75" thickTop="1">
      <c r="A13" s="66" t="s">
        <v>89</v>
      </c>
      <c r="B13" s="74"/>
      <c r="C13" s="73"/>
      <c r="D13" s="73"/>
      <c r="E13" s="93"/>
      <c r="F13" s="93"/>
      <c r="G13" s="76"/>
      <c r="H13" s="93"/>
      <c r="I13" s="93"/>
      <c r="J13" s="93"/>
      <c r="K13" s="72"/>
      <c r="L13" s="73"/>
      <c r="M13" s="73"/>
    </row>
    <row r="14" spans="1:13" s="83" customFormat="1" ht="27.75" customHeight="1">
      <c r="A14" s="79" t="s">
        <v>33</v>
      </c>
      <c r="B14" s="80" t="s">
        <v>12</v>
      </c>
      <c r="C14" s="79" t="s">
        <v>38</v>
      </c>
      <c r="D14" s="79" t="s">
        <v>13</v>
      </c>
      <c r="E14" s="92" t="s">
        <v>32</v>
      </c>
      <c r="F14" s="92" t="s">
        <v>34</v>
      </c>
      <c r="G14" s="81" t="s">
        <v>14</v>
      </c>
      <c r="H14" s="92" t="s">
        <v>37</v>
      </c>
      <c r="I14" s="92" t="s">
        <v>35</v>
      </c>
      <c r="J14" s="92" t="s">
        <v>36</v>
      </c>
      <c r="K14" s="81" t="s">
        <v>28</v>
      </c>
      <c r="L14" s="82" t="s">
        <v>39</v>
      </c>
      <c r="M14" s="82" t="s">
        <v>40</v>
      </c>
    </row>
    <row r="20" spans="1:10">
      <c r="A20" s="109"/>
      <c r="B20" s="109"/>
      <c r="C20" s="109"/>
      <c r="D20" s="109"/>
      <c r="E20" s="109"/>
      <c r="F20" s="109"/>
      <c r="G20" s="109"/>
      <c r="H20" s="109"/>
      <c r="I20" s="109"/>
      <c r="J20" s="109"/>
    </row>
    <row r="21" spans="1:10">
      <c r="C21" s="109"/>
      <c r="D21" s="109"/>
      <c r="G21" s="109"/>
      <c r="H21" s="109"/>
    </row>
    <row r="22" spans="1:10">
      <c r="C22" s="109"/>
      <c r="D22" s="109"/>
      <c r="G22" s="109"/>
      <c r="H22" s="109"/>
    </row>
    <row r="24" spans="1:10">
      <c r="C24" s="31"/>
      <c r="D24" s="31"/>
      <c r="H24" s="31"/>
    </row>
    <row r="25" spans="1:10">
      <c r="C25" s="31"/>
      <c r="D25" s="31"/>
      <c r="H25" s="31"/>
    </row>
    <row r="26" spans="1:10">
      <c r="C26" s="31"/>
      <c r="D26" s="31"/>
      <c r="H26" s="31"/>
    </row>
    <row r="27" spans="1:10">
      <c r="C27" s="31"/>
      <c r="D27" s="31"/>
      <c r="H27" s="31"/>
    </row>
    <row r="28" spans="1:10">
      <c r="C28" s="31"/>
      <c r="D28" s="31"/>
      <c r="H28" s="31"/>
    </row>
    <row r="29" spans="1:10">
      <c r="C29" s="31"/>
      <c r="D29" s="31"/>
      <c r="H29" s="31"/>
    </row>
  </sheetData>
  <sortState ref="A5:M11">
    <sortCondition ref="D5:D11"/>
  </sortState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03"/>
  <sheetViews>
    <sheetView topLeftCell="A82" zoomScaleNormal="100" workbookViewId="0">
      <selection activeCell="B102" sqref="B102"/>
    </sheetView>
  </sheetViews>
  <sheetFormatPr defaultRowHeight="15"/>
  <cols>
    <col min="1" max="1" width="9.140625" style="110"/>
    <col min="2" max="2" width="51.85546875" style="110" bestFit="1" customWidth="1"/>
    <col min="3" max="3" width="15.140625" style="110" bestFit="1" customWidth="1"/>
    <col min="4" max="4" width="18.28515625" style="110" bestFit="1" customWidth="1"/>
    <col min="5" max="5" width="9.5703125" style="110" bestFit="1" customWidth="1"/>
    <col min="6" max="6" width="13" style="110" customWidth="1"/>
    <col min="7" max="16384" width="9.140625" style="110"/>
  </cols>
  <sheetData>
    <row r="3" spans="2:7">
      <c r="B3" s="119" t="s">
        <v>87</v>
      </c>
    </row>
    <row r="4" spans="2:7">
      <c r="B4" s="109" t="s">
        <v>28</v>
      </c>
      <c r="C4" s="109" t="s">
        <v>32</v>
      </c>
      <c r="D4" s="110" t="s">
        <v>34</v>
      </c>
      <c r="E4" s="110" t="s">
        <v>171</v>
      </c>
      <c r="F4" s="110" t="s">
        <v>172</v>
      </c>
      <c r="G4" s="110" t="s">
        <v>173</v>
      </c>
    </row>
    <row r="5" spans="2:7">
      <c r="B5" s="1" t="s">
        <v>118</v>
      </c>
      <c r="C5" s="109"/>
      <c r="D5" s="110">
        <v>15845.789999999999</v>
      </c>
      <c r="E5" s="110">
        <v>792.28950000000043</v>
      </c>
      <c r="F5" s="110">
        <v>0</v>
      </c>
      <c r="G5" s="110">
        <v>0</v>
      </c>
    </row>
    <row r="6" spans="2:7">
      <c r="B6" s="1" t="s">
        <v>119</v>
      </c>
      <c r="C6" s="109"/>
      <c r="D6" s="110">
        <v>1621.9</v>
      </c>
      <c r="E6" s="110">
        <v>81.094999999999999</v>
      </c>
      <c r="F6" s="110">
        <v>0</v>
      </c>
      <c r="G6" s="110">
        <v>0</v>
      </c>
    </row>
    <row r="7" spans="2:7">
      <c r="B7" s="1" t="s">
        <v>120</v>
      </c>
      <c r="C7" s="109"/>
      <c r="D7" s="110">
        <v>6254.2900000000009</v>
      </c>
      <c r="E7" s="110">
        <v>312.71450000000004</v>
      </c>
      <c r="F7" s="110">
        <v>0</v>
      </c>
      <c r="G7" s="110">
        <v>0</v>
      </c>
    </row>
    <row r="8" spans="2:7">
      <c r="B8" s="1" t="s">
        <v>121</v>
      </c>
      <c r="C8" s="109"/>
      <c r="D8" s="110">
        <v>2157.14</v>
      </c>
      <c r="E8" s="110">
        <v>107.857</v>
      </c>
      <c r="F8" s="110">
        <v>0</v>
      </c>
      <c r="G8" s="110">
        <v>0</v>
      </c>
    </row>
    <row r="9" spans="2:7">
      <c r="B9" s="1" t="s">
        <v>122</v>
      </c>
      <c r="C9" s="109"/>
      <c r="D9" s="110">
        <v>3742.86</v>
      </c>
      <c r="E9" s="110">
        <v>187.14299999999997</v>
      </c>
      <c r="F9" s="110">
        <v>0</v>
      </c>
      <c r="G9" s="110">
        <v>0</v>
      </c>
    </row>
    <row r="10" spans="2:7">
      <c r="B10" s="1" t="s">
        <v>141</v>
      </c>
      <c r="C10" s="109"/>
      <c r="D10" s="110">
        <v>578.1</v>
      </c>
      <c r="E10" s="110">
        <v>28.905000000000001</v>
      </c>
      <c r="F10" s="110">
        <v>0</v>
      </c>
      <c r="G10" s="110">
        <v>0</v>
      </c>
    </row>
    <row r="11" spans="2:7">
      <c r="B11" s="1" t="s">
        <v>123</v>
      </c>
      <c r="C11" s="109"/>
      <c r="D11" s="110">
        <v>3282.8500000000004</v>
      </c>
      <c r="E11" s="110">
        <v>164.14250000000001</v>
      </c>
      <c r="F11" s="110">
        <v>0</v>
      </c>
      <c r="G11" s="110">
        <v>0</v>
      </c>
    </row>
    <row r="12" spans="2:7">
      <c r="B12" s="1" t="s">
        <v>124</v>
      </c>
      <c r="C12" s="109"/>
      <c r="D12" s="110">
        <v>2450.4699999999998</v>
      </c>
      <c r="E12" s="110">
        <v>122.5235</v>
      </c>
      <c r="F12" s="110">
        <v>0</v>
      </c>
      <c r="G12" s="110">
        <v>0</v>
      </c>
    </row>
    <row r="13" spans="2:7">
      <c r="B13" s="1" t="s">
        <v>142</v>
      </c>
      <c r="C13" s="109"/>
      <c r="D13" s="110">
        <v>713.33</v>
      </c>
      <c r="E13" s="110">
        <v>35.666499999999999</v>
      </c>
      <c r="F13" s="110">
        <v>0</v>
      </c>
      <c r="G13" s="110">
        <v>0</v>
      </c>
    </row>
    <row r="14" spans="2:7">
      <c r="B14" s="1" t="s">
        <v>125</v>
      </c>
      <c r="C14" s="109"/>
      <c r="D14" s="110">
        <v>2095.2400000000002</v>
      </c>
      <c r="E14" s="110">
        <v>104.762</v>
      </c>
      <c r="F14" s="110">
        <v>0</v>
      </c>
      <c r="G14" s="110">
        <v>0</v>
      </c>
    </row>
    <row r="15" spans="2:7">
      <c r="B15" s="1" t="s">
        <v>126</v>
      </c>
      <c r="C15" s="109"/>
      <c r="D15" s="110">
        <v>19398.22</v>
      </c>
      <c r="E15" s="110">
        <v>969.91100000000029</v>
      </c>
      <c r="F15" s="110">
        <v>0</v>
      </c>
      <c r="G15" s="110">
        <v>0</v>
      </c>
    </row>
    <row r="16" spans="2:7">
      <c r="B16" s="1" t="s">
        <v>127</v>
      </c>
      <c r="C16" s="109"/>
      <c r="D16" s="110">
        <v>19936.34</v>
      </c>
      <c r="E16" s="110">
        <v>996.81699999999978</v>
      </c>
      <c r="F16" s="110">
        <v>0</v>
      </c>
      <c r="G16" s="110">
        <v>0</v>
      </c>
    </row>
    <row r="17" spans="2:7">
      <c r="B17" s="1" t="s">
        <v>214</v>
      </c>
      <c r="C17" s="109"/>
      <c r="D17" s="110">
        <v>533.33000000000004</v>
      </c>
      <c r="E17" s="110">
        <v>26.666499999999999</v>
      </c>
      <c r="F17" s="110">
        <v>0</v>
      </c>
      <c r="G17" s="110">
        <v>0</v>
      </c>
    </row>
    <row r="18" spans="2:7">
      <c r="B18" s="1" t="s">
        <v>128</v>
      </c>
      <c r="C18" s="109"/>
      <c r="D18" s="110">
        <v>2037.14</v>
      </c>
      <c r="E18" s="110">
        <v>101.857</v>
      </c>
      <c r="F18" s="110">
        <v>0</v>
      </c>
      <c r="G18" s="110">
        <v>0</v>
      </c>
    </row>
    <row r="19" spans="2:7">
      <c r="B19" s="1" t="s">
        <v>129</v>
      </c>
      <c r="C19" s="109"/>
      <c r="D19" s="110">
        <v>14283.82</v>
      </c>
      <c r="E19" s="110">
        <v>714.19100000000003</v>
      </c>
      <c r="F19" s="110">
        <v>0</v>
      </c>
      <c r="G19" s="110">
        <v>0</v>
      </c>
    </row>
    <row r="20" spans="2:7">
      <c r="B20" s="1" t="s">
        <v>130</v>
      </c>
      <c r="C20" s="109"/>
      <c r="D20" s="110">
        <v>1801.9</v>
      </c>
      <c r="E20" s="110">
        <v>90.094999999999999</v>
      </c>
      <c r="F20" s="110">
        <v>0</v>
      </c>
      <c r="G20" s="110">
        <v>0</v>
      </c>
    </row>
    <row r="21" spans="2:7">
      <c r="B21" s="1" t="s">
        <v>131</v>
      </c>
      <c r="C21" s="109"/>
      <c r="D21" s="110">
        <v>0</v>
      </c>
      <c r="E21" s="110">
        <v>0</v>
      </c>
      <c r="F21" s="110">
        <v>0</v>
      </c>
      <c r="G21" s="110">
        <v>0</v>
      </c>
    </row>
    <row r="22" spans="2:7">
      <c r="B22" s="1" t="s">
        <v>146</v>
      </c>
      <c r="C22" s="109"/>
      <c r="D22" s="110">
        <v>1213.3399999999999</v>
      </c>
      <c r="E22" s="110">
        <v>60.667000000000002</v>
      </c>
      <c r="F22" s="110">
        <v>0</v>
      </c>
      <c r="G22" s="110">
        <v>0</v>
      </c>
    </row>
    <row r="23" spans="2:7">
      <c r="B23" s="1" t="s">
        <v>132</v>
      </c>
      <c r="C23" s="109"/>
      <c r="D23" s="110">
        <v>2290.48</v>
      </c>
      <c r="E23" s="110">
        <v>114.52399999999999</v>
      </c>
      <c r="F23" s="110">
        <v>0</v>
      </c>
      <c r="G23" s="110">
        <v>0</v>
      </c>
    </row>
    <row r="24" spans="2:7">
      <c r="B24" s="1" t="s">
        <v>133</v>
      </c>
      <c r="C24" s="109"/>
      <c r="D24" s="110">
        <v>29092.760000000002</v>
      </c>
      <c r="E24" s="110">
        <v>0</v>
      </c>
      <c r="F24" s="110">
        <v>727.31899999999985</v>
      </c>
      <c r="G24" s="110">
        <v>727.31899999999985</v>
      </c>
    </row>
    <row r="25" spans="2:7">
      <c r="B25" s="1" t="s">
        <v>134</v>
      </c>
      <c r="C25" s="109"/>
      <c r="D25" s="110">
        <v>16267.719999999994</v>
      </c>
      <c r="E25" s="110">
        <v>813.38599999999997</v>
      </c>
      <c r="F25" s="110">
        <v>0</v>
      </c>
      <c r="G25" s="110">
        <v>0</v>
      </c>
    </row>
    <row r="26" spans="2:7">
      <c r="B26" s="1" t="s">
        <v>135</v>
      </c>
      <c r="C26" s="109"/>
      <c r="D26" s="110">
        <v>5469.5199999999995</v>
      </c>
      <c r="E26" s="110">
        <v>273.476</v>
      </c>
      <c r="F26" s="110">
        <v>0</v>
      </c>
      <c r="G26" s="110">
        <v>0</v>
      </c>
    </row>
    <row r="27" spans="2:7">
      <c r="B27" s="1" t="s">
        <v>136</v>
      </c>
      <c r="C27" s="109"/>
      <c r="D27" s="110">
        <v>713.33</v>
      </c>
      <c r="E27" s="110">
        <v>35.666499999999999</v>
      </c>
      <c r="F27" s="110">
        <v>0</v>
      </c>
      <c r="G27" s="110">
        <v>0</v>
      </c>
    </row>
    <row r="28" spans="2:7">
      <c r="B28" s="1" t="s">
        <v>137</v>
      </c>
      <c r="C28" s="109"/>
      <c r="D28" s="110">
        <v>6251.42</v>
      </c>
      <c r="E28" s="110">
        <v>312.57100000000008</v>
      </c>
      <c r="F28" s="110">
        <v>0</v>
      </c>
      <c r="G28" s="110">
        <v>0</v>
      </c>
    </row>
    <row r="29" spans="2:7" ht="15.75" thickBot="1">
      <c r="D29" s="111">
        <f>SUM(D5:D28)</f>
        <v>158031.28999999998</v>
      </c>
      <c r="E29" s="111">
        <f t="shared" ref="E29:G29" si="0">SUM(E5:E28)</f>
        <v>6446.9265000000014</v>
      </c>
      <c r="F29" s="111">
        <f t="shared" si="0"/>
        <v>727.31899999999985</v>
      </c>
      <c r="G29" s="111">
        <f t="shared" si="0"/>
        <v>727.31899999999985</v>
      </c>
    </row>
    <row r="30" spans="2:7" ht="15.75" thickTop="1"/>
    <row r="31" spans="2:7">
      <c r="B31" s="119" t="s">
        <v>89</v>
      </c>
    </row>
    <row r="32" spans="2:7">
      <c r="B32" s="1" t="s">
        <v>133</v>
      </c>
      <c r="C32" s="109"/>
      <c r="D32" s="110">
        <v>22682.62</v>
      </c>
      <c r="F32" s="110">
        <f>D32*2.5/100</f>
        <v>567.06549999999993</v>
      </c>
      <c r="G32" s="110">
        <f>F32</f>
        <v>567.06549999999993</v>
      </c>
    </row>
    <row r="33" spans="2:5">
      <c r="B33" s="95" t="s">
        <v>106</v>
      </c>
      <c r="D33" s="105">
        <v>1729.9</v>
      </c>
      <c r="E33" s="106">
        <v>86.47</v>
      </c>
    </row>
    <row r="34" spans="2:5">
      <c r="B34" s="95" t="s">
        <v>107</v>
      </c>
      <c r="D34" s="105">
        <v>5978.49999999999</v>
      </c>
      <c r="E34" s="106">
        <v>298.91000000000003</v>
      </c>
    </row>
    <row r="35" spans="2:5">
      <c r="B35" s="95" t="s">
        <v>111</v>
      </c>
      <c r="D35" s="105">
        <v>12341.62</v>
      </c>
      <c r="E35" s="106">
        <v>617.04999999999905</v>
      </c>
    </row>
    <row r="36" spans="2:5">
      <c r="B36" s="95" t="s">
        <v>96</v>
      </c>
      <c r="D36" s="105">
        <v>4130.1899999999996</v>
      </c>
      <c r="E36" s="106">
        <v>206.49</v>
      </c>
    </row>
    <row r="37" spans="2:5">
      <c r="B37" s="95" t="s">
        <v>109</v>
      </c>
      <c r="D37" s="105">
        <v>569.11</v>
      </c>
      <c r="E37" s="106">
        <v>28.45</v>
      </c>
    </row>
    <row r="38" spans="2:5">
      <c r="B38" s="95" t="s">
        <v>104</v>
      </c>
      <c r="D38" s="105">
        <v>499.469999999999</v>
      </c>
      <c r="E38" s="106">
        <v>24.97</v>
      </c>
    </row>
    <row r="39" spans="2:5">
      <c r="B39" s="95" t="s">
        <v>113</v>
      </c>
      <c r="D39" s="105">
        <v>496.19</v>
      </c>
      <c r="E39" s="106">
        <v>24.81</v>
      </c>
    </row>
    <row r="40" spans="2:5">
      <c r="B40" s="95" t="s">
        <v>112</v>
      </c>
      <c r="D40" s="105">
        <v>12170.289999999901</v>
      </c>
      <c r="E40" s="106">
        <v>608.50999999999897</v>
      </c>
    </row>
    <row r="41" spans="2:5">
      <c r="B41" s="95" t="s">
        <v>105</v>
      </c>
      <c r="D41" s="105">
        <v>966.2</v>
      </c>
      <c r="E41" s="106">
        <v>48.3</v>
      </c>
    </row>
    <row r="42" spans="2:5">
      <c r="B42" s="95" t="s">
        <v>103</v>
      </c>
      <c r="D42" s="105">
        <v>-121.12</v>
      </c>
      <c r="E42" s="106">
        <v>-6.06</v>
      </c>
    </row>
    <row r="43" spans="2:5">
      <c r="B43" s="95" t="s">
        <v>101</v>
      </c>
      <c r="D43" s="105">
        <v>425.71</v>
      </c>
      <c r="E43" s="106">
        <v>21.29</v>
      </c>
    </row>
    <row r="44" spans="2:5">
      <c r="B44" s="95" t="s">
        <v>108</v>
      </c>
      <c r="D44" s="105">
        <v>855.47</v>
      </c>
      <c r="E44" s="106">
        <v>42.75</v>
      </c>
    </row>
    <row r="45" spans="2:5">
      <c r="B45" s="95" t="s">
        <v>102</v>
      </c>
      <c r="D45" s="105">
        <v>770.34</v>
      </c>
      <c r="E45" s="106">
        <v>38.520000000000003</v>
      </c>
    </row>
    <row r="46" spans="2:5">
      <c r="B46" s="95" t="s">
        <v>116</v>
      </c>
      <c r="D46" s="105">
        <v>4774.1899999999996</v>
      </c>
      <c r="E46" s="106">
        <v>238.73999999999899</v>
      </c>
    </row>
    <row r="47" spans="2:5">
      <c r="B47" s="95" t="s">
        <v>97</v>
      </c>
      <c r="D47" s="105">
        <v>1676.69999999999</v>
      </c>
      <c r="E47" s="106">
        <v>83.82</v>
      </c>
    </row>
    <row r="48" spans="2:5">
      <c r="B48" s="95" t="s">
        <v>100</v>
      </c>
      <c r="D48" s="105">
        <v>7374.86</v>
      </c>
      <c r="E48" s="106">
        <v>368.75</v>
      </c>
    </row>
    <row r="49" spans="2:8">
      <c r="B49" s="95" t="s">
        <v>114</v>
      </c>
      <c r="D49" s="105">
        <v>314.60000000000002</v>
      </c>
      <c r="E49" s="106">
        <v>15.74</v>
      </c>
    </row>
    <row r="50" spans="2:8">
      <c r="B50" s="95" t="s">
        <v>207</v>
      </c>
      <c r="D50" s="105">
        <v>200.54</v>
      </c>
      <c r="E50" s="106">
        <v>10.02</v>
      </c>
    </row>
    <row r="51" spans="2:8">
      <c r="B51" s="95" t="s">
        <v>110</v>
      </c>
      <c r="D51" s="105">
        <v>225.81</v>
      </c>
      <c r="E51" s="106">
        <v>11.29</v>
      </c>
    </row>
    <row r="52" spans="2:8">
      <c r="B52" s="95" t="s">
        <v>117</v>
      </c>
      <c r="D52" s="105">
        <v>8752.2699999999895</v>
      </c>
      <c r="E52" s="106">
        <v>437.62</v>
      </c>
    </row>
    <row r="53" spans="2:8">
      <c r="B53" s="95" t="s">
        <v>115</v>
      </c>
      <c r="D53" s="105">
        <v>2223.79</v>
      </c>
      <c r="E53" s="106">
        <v>111.21</v>
      </c>
    </row>
    <row r="54" spans="2:8">
      <c r="B54" s="95" t="s">
        <v>208</v>
      </c>
      <c r="D54" s="105">
        <v>554.47</v>
      </c>
      <c r="E54" s="106">
        <v>27.729999999999901</v>
      </c>
    </row>
    <row r="55" spans="2:8">
      <c r="B55" s="95" t="s">
        <v>175</v>
      </c>
      <c r="D55" s="105">
        <v>307.06</v>
      </c>
      <c r="E55" s="106">
        <v>15.36</v>
      </c>
    </row>
    <row r="56" spans="2:8">
      <c r="B56" s="95" t="s">
        <v>99</v>
      </c>
      <c r="D56" s="105">
        <v>43800.78</v>
      </c>
      <c r="E56" s="106">
        <v>2189.88</v>
      </c>
    </row>
    <row r="57" spans="2:8">
      <c r="B57" s="95" t="s">
        <v>98</v>
      </c>
      <c r="D57" s="105">
        <v>1387.61</v>
      </c>
      <c r="E57" s="106">
        <v>69.38</v>
      </c>
    </row>
    <row r="58" spans="2:8">
      <c r="B58" s="95"/>
      <c r="D58" s="105"/>
      <c r="E58" s="124"/>
    </row>
    <row r="59" spans="2:8" ht="15.75" thickBot="1">
      <c r="D59" s="111">
        <f>SUM(D32:D58)</f>
        <v>135087.16999999987</v>
      </c>
      <c r="E59" s="111">
        <f t="shared" ref="E59:H59" si="1">SUM(E32:E58)</f>
        <v>5619.9999999999973</v>
      </c>
      <c r="F59" s="111">
        <f t="shared" si="1"/>
        <v>567.06549999999993</v>
      </c>
      <c r="G59" s="111">
        <f t="shared" si="1"/>
        <v>567.06549999999993</v>
      </c>
      <c r="H59" s="111">
        <f t="shared" si="1"/>
        <v>0</v>
      </c>
    </row>
    <row r="60" spans="2:8" ht="15.75" thickTop="1"/>
    <row r="62" spans="2:8">
      <c r="B62" s="119" t="s">
        <v>85</v>
      </c>
    </row>
    <row r="63" spans="2:8">
      <c r="B63" s="110" t="s">
        <v>177</v>
      </c>
      <c r="C63" s="110" t="s">
        <v>0</v>
      </c>
      <c r="D63" s="110" t="s">
        <v>1</v>
      </c>
      <c r="E63" s="110" t="s">
        <v>2</v>
      </c>
      <c r="F63" s="110" t="s">
        <v>176</v>
      </c>
    </row>
    <row r="64" spans="2:8">
      <c r="B64" s="110">
        <v>2573.5238095238051</v>
      </c>
      <c r="C64" s="110">
        <v>128.67619047619024</v>
      </c>
      <c r="D64" s="110">
        <v>0</v>
      </c>
      <c r="E64" s="110">
        <v>0</v>
      </c>
      <c r="F64" s="125" t="s">
        <v>138</v>
      </c>
    </row>
    <row r="65" spans="2:6">
      <c r="B65" s="110">
        <v>-768.57142857142708</v>
      </c>
      <c r="C65" s="110">
        <v>-38.428571428571352</v>
      </c>
      <c r="D65" s="110">
        <v>0</v>
      </c>
      <c r="E65" s="110">
        <v>0</v>
      </c>
      <c r="F65" s="125" t="s">
        <v>215</v>
      </c>
    </row>
    <row r="66" spans="2:6">
      <c r="B66" s="110">
        <v>50992.129999999917</v>
      </c>
      <c r="C66" s="110">
        <v>2549.6064999999958</v>
      </c>
      <c r="D66" s="110">
        <v>0</v>
      </c>
      <c r="E66" s="110">
        <v>0</v>
      </c>
      <c r="F66" s="125" t="s">
        <v>118</v>
      </c>
    </row>
    <row r="67" spans="2:6">
      <c r="B67" s="110">
        <v>357.71428571428498</v>
      </c>
      <c r="C67" s="110">
        <v>17.885714285714243</v>
      </c>
      <c r="D67" s="110">
        <v>0</v>
      </c>
      <c r="E67" s="110">
        <v>0</v>
      </c>
      <c r="F67" s="125" t="s">
        <v>139</v>
      </c>
    </row>
    <row r="68" spans="2:6">
      <c r="B68" s="110">
        <v>13956.593333333309</v>
      </c>
      <c r="C68" s="110">
        <v>697.82966666666573</v>
      </c>
      <c r="D68" s="110">
        <v>0</v>
      </c>
      <c r="E68" s="110">
        <v>0</v>
      </c>
      <c r="F68" s="125" t="s">
        <v>119</v>
      </c>
    </row>
    <row r="69" spans="2:6">
      <c r="B69" s="110">
        <v>36222.711428571354</v>
      </c>
      <c r="C69" s="110">
        <v>1811.1355714285685</v>
      </c>
      <c r="D69" s="110">
        <v>0</v>
      </c>
      <c r="E69" s="110">
        <v>0</v>
      </c>
      <c r="F69" s="125" t="s">
        <v>120</v>
      </c>
    </row>
    <row r="70" spans="2:6">
      <c r="B70" s="110">
        <v>383.03809523809502</v>
      </c>
      <c r="C70" s="110">
        <v>19.151904761904753</v>
      </c>
      <c r="D70" s="110">
        <v>0</v>
      </c>
      <c r="E70" s="110">
        <v>0</v>
      </c>
      <c r="F70" s="125" t="s">
        <v>216</v>
      </c>
    </row>
    <row r="71" spans="2:6">
      <c r="B71" s="110">
        <v>8220.1619047618933</v>
      </c>
      <c r="C71" s="110">
        <v>411.00809523809471</v>
      </c>
      <c r="D71" s="110">
        <v>0</v>
      </c>
      <c r="E71" s="110">
        <v>0</v>
      </c>
      <c r="F71" s="125" t="s">
        <v>140</v>
      </c>
    </row>
    <row r="72" spans="2:6">
      <c r="B72" s="110">
        <v>-2561.7047619047589</v>
      </c>
      <c r="C72" s="110">
        <v>-128.08523809523794</v>
      </c>
      <c r="D72" s="110">
        <v>0</v>
      </c>
      <c r="E72" s="110">
        <v>0</v>
      </c>
      <c r="F72" s="125" t="s">
        <v>217</v>
      </c>
    </row>
    <row r="73" spans="2:6">
      <c r="B73" s="110">
        <v>-256.76190476190402</v>
      </c>
      <c r="C73" s="110">
        <v>-12.838095238095201</v>
      </c>
      <c r="D73" s="110">
        <v>0</v>
      </c>
      <c r="E73" s="110">
        <v>0</v>
      </c>
      <c r="F73" s="125" t="s">
        <v>218</v>
      </c>
    </row>
    <row r="74" spans="2:6">
      <c r="B74" s="110">
        <v>870.099047619045</v>
      </c>
      <c r="C74" s="110">
        <v>43.504952380952254</v>
      </c>
      <c r="D74" s="110">
        <v>0</v>
      </c>
      <c r="E74" s="110">
        <v>0</v>
      </c>
      <c r="F74" s="125" t="s">
        <v>178</v>
      </c>
    </row>
    <row r="75" spans="2:6">
      <c r="B75" s="110">
        <v>2704.7523809523768</v>
      </c>
      <c r="C75" s="110">
        <v>135.23761904761878</v>
      </c>
      <c r="D75" s="110">
        <v>0</v>
      </c>
      <c r="E75" s="110">
        <v>0</v>
      </c>
      <c r="F75" s="125" t="s">
        <v>122</v>
      </c>
    </row>
    <row r="76" spans="2:6">
      <c r="B76" s="110">
        <v>996.37142857142703</v>
      </c>
      <c r="C76" s="110">
        <v>49.818571428571346</v>
      </c>
      <c r="D76" s="110">
        <v>0</v>
      </c>
      <c r="E76" s="110">
        <v>0</v>
      </c>
      <c r="F76" s="125" t="s">
        <v>141</v>
      </c>
    </row>
    <row r="77" spans="2:6">
      <c r="B77" s="110">
        <v>8810.4252380952239</v>
      </c>
      <c r="C77" s="110">
        <v>440.52126190476122</v>
      </c>
      <c r="D77" s="110">
        <v>0</v>
      </c>
      <c r="E77" s="110">
        <v>0</v>
      </c>
      <c r="F77" s="125" t="s">
        <v>123</v>
      </c>
    </row>
    <row r="78" spans="2:6">
      <c r="B78" s="110">
        <v>3688.5619047618989</v>
      </c>
      <c r="C78" s="110">
        <v>184.42809523809493</v>
      </c>
      <c r="D78" s="110">
        <v>0</v>
      </c>
      <c r="E78" s="110">
        <v>0</v>
      </c>
      <c r="F78" s="125" t="s">
        <v>124</v>
      </c>
    </row>
    <row r="79" spans="2:6">
      <c r="B79" s="110">
        <v>741.13333333333208</v>
      </c>
      <c r="C79" s="110">
        <v>37.056666666666601</v>
      </c>
      <c r="D79" s="110">
        <v>0</v>
      </c>
      <c r="E79" s="110">
        <v>0</v>
      </c>
      <c r="F79" s="125" t="s">
        <v>142</v>
      </c>
    </row>
    <row r="80" spans="2:6">
      <c r="B80" s="110">
        <v>-447.61904761904702</v>
      </c>
      <c r="C80" s="110">
        <v>-22.380952380952348</v>
      </c>
      <c r="D80" s="110">
        <v>0</v>
      </c>
      <c r="E80" s="110">
        <v>0</v>
      </c>
      <c r="F80" s="125" t="s">
        <v>219</v>
      </c>
    </row>
    <row r="81" spans="2:6">
      <c r="B81" s="110">
        <v>709.52666666666596</v>
      </c>
      <c r="C81" s="110">
        <v>35.476333333333301</v>
      </c>
      <c r="D81" s="110">
        <v>0</v>
      </c>
      <c r="E81" s="110">
        <v>0</v>
      </c>
      <c r="F81" s="125" t="s">
        <v>143</v>
      </c>
    </row>
    <row r="82" spans="2:6">
      <c r="B82" s="110">
        <v>6687.8342857142734</v>
      </c>
      <c r="C82" s="110">
        <v>334.3917142857137</v>
      </c>
      <c r="D82" s="110">
        <v>0</v>
      </c>
      <c r="E82" s="110">
        <v>0</v>
      </c>
      <c r="F82" s="125" t="s">
        <v>125</v>
      </c>
    </row>
    <row r="83" spans="2:6">
      <c r="B83" s="110">
        <v>54099.02666666657</v>
      </c>
      <c r="C83" s="110">
        <v>2704.9513333333311</v>
      </c>
      <c r="D83" s="110">
        <v>0</v>
      </c>
      <c r="E83" s="110">
        <v>0</v>
      </c>
      <c r="F83" s="125" t="s">
        <v>126</v>
      </c>
    </row>
    <row r="84" spans="2:6">
      <c r="B84" s="110">
        <v>58418.691904761821</v>
      </c>
      <c r="C84" s="110">
        <v>2920.9345952380895</v>
      </c>
      <c r="D84" s="110">
        <v>0</v>
      </c>
      <c r="E84" s="110">
        <v>0</v>
      </c>
      <c r="F84" s="125" t="s">
        <v>127</v>
      </c>
    </row>
    <row r="85" spans="2:6">
      <c r="B85" s="110">
        <v>5502.2666666666591</v>
      </c>
      <c r="C85" s="110">
        <v>275.113333333333</v>
      </c>
      <c r="D85" s="110">
        <v>0</v>
      </c>
      <c r="E85" s="110">
        <v>0</v>
      </c>
      <c r="F85" s="125" t="s">
        <v>128</v>
      </c>
    </row>
    <row r="86" spans="2:6">
      <c r="B86" s="110">
        <v>24737.226666666607</v>
      </c>
      <c r="C86" s="110">
        <v>1236.8613333333312</v>
      </c>
      <c r="D86" s="110">
        <v>0</v>
      </c>
      <c r="E86" s="110">
        <v>0</v>
      </c>
      <c r="F86" s="125" t="s">
        <v>129</v>
      </c>
    </row>
    <row r="87" spans="2:6">
      <c r="B87" s="110">
        <v>0</v>
      </c>
      <c r="C87" s="110">
        <v>0</v>
      </c>
      <c r="D87" s="110">
        <v>0</v>
      </c>
      <c r="E87" s="110">
        <v>0</v>
      </c>
      <c r="F87" s="125" t="s">
        <v>220</v>
      </c>
    </row>
    <row r="88" spans="2:6">
      <c r="B88" s="110">
        <v>1254.4857142857131</v>
      </c>
      <c r="C88" s="110">
        <v>62.724285714285656</v>
      </c>
      <c r="D88" s="110">
        <v>0</v>
      </c>
      <c r="E88" s="110">
        <v>0</v>
      </c>
      <c r="F88" s="125" t="s">
        <v>144</v>
      </c>
    </row>
    <row r="89" spans="2:6">
      <c r="B89" s="110">
        <v>1077.142857142856</v>
      </c>
      <c r="C89" s="110">
        <v>53.857142857142797</v>
      </c>
      <c r="D89" s="110">
        <v>0</v>
      </c>
      <c r="E89" s="110">
        <v>0</v>
      </c>
      <c r="F89" s="125" t="s">
        <v>179</v>
      </c>
    </row>
    <row r="90" spans="2:6">
      <c r="B90" s="110">
        <v>9552.3333333333157</v>
      </c>
      <c r="C90" s="110">
        <v>477.61666666666588</v>
      </c>
      <c r="D90" s="110">
        <v>0</v>
      </c>
      <c r="E90" s="110">
        <v>0</v>
      </c>
      <c r="F90" s="125" t="s">
        <v>130</v>
      </c>
    </row>
    <row r="91" spans="2:6">
      <c r="B91" s="110">
        <v>1967.771428571426</v>
      </c>
      <c r="C91" s="110">
        <v>98.388571428571311</v>
      </c>
      <c r="D91" s="110">
        <v>0</v>
      </c>
      <c r="E91" s="110">
        <v>0</v>
      </c>
      <c r="F91" s="125" t="s">
        <v>145</v>
      </c>
    </row>
    <row r="92" spans="2:6">
      <c r="B92" s="110">
        <v>-394.18095238095202</v>
      </c>
      <c r="C92" s="110">
        <v>-19.709047619047602</v>
      </c>
      <c r="D92" s="110">
        <v>0</v>
      </c>
      <c r="E92" s="110">
        <v>0</v>
      </c>
      <c r="F92" s="125" t="s">
        <v>221</v>
      </c>
    </row>
    <row r="93" spans="2:6">
      <c r="B93" s="110">
        <v>2068.9438095238074</v>
      </c>
      <c r="C93" s="110">
        <v>103.44719047619034</v>
      </c>
      <c r="D93" s="110">
        <v>0</v>
      </c>
      <c r="E93" s="110">
        <v>0</v>
      </c>
      <c r="F93" s="125" t="s">
        <v>146</v>
      </c>
    </row>
    <row r="94" spans="2:6">
      <c r="B94" s="110">
        <v>8814.4414285714101</v>
      </c>
      <c r="C94" s="110">
        <v>440.72207142857064</v>
      </c>
      <c r="D94" s="110">
        <v>0</v>
      </c>
      <c r="E94" s="110">
        <v>0</v>
      </c>
      <c r="F94" s="125" t="s">
        <v>132</v>
      </c>
    </row>
    <row r="95" spans="2:6">
      <c r="B95" s="110">
        <v>272.59047619047601</v>
      </c>
      <c r="C95" s="110">
        <v>13.6295238095238</v>
      </c>
      <c r="D95" s="110">
        <v>0</v>
      </c>
      <c r="E95" s="110">
        <v>0</v>
      </c>
      <c r="F95" s="125" t="s">
        <v>222</v>
      </c>
    </row>
    <row r="96" spans="2:6">
      <c r="B96" s="110">
        <v>121547.93904761884</v>
      </c>
      <c r="C96" s="110">
        <v>0</v>
      </c>
      <c r="D96" s="110">
        <v>3038.6984761904682</v>
      </c>
      <c r="E96" s="110">
        <v>3038.6984761904682</v>
      </c>
      <c r="F96" s="125" t="s">
        <v>133</v>
      </c>
    </row>
    <row r="97" spans="2:6">
      <c r="B97" s="110">
        <v>29841.201904761885</v>
      </c>
      <c r="C97" s="110">
        <v>1492.0600952380935</v>
      </c>
      <c r="D97" s="110">
        <v>0</v>
      </c>
      <c r="E97" s="110">
        <v>0</v>
      </c>
      <c r="F97" s="125" t="s">
        <v>134</v>
      </c>
    </row>
    <row r="98" spans="2:6">
      <c r="B98" s="110">
        <v>2785.9228571428548</v>
      </c>
      <c r="C98" s="110">
        <v>139.29614285714277</v>
      </c>
      <c r="D98" s="110">
        <v>0</v>
      </c>
      <c r="E98" s="110">
        <v>0</v>
      </c>
      <c r="F98" s="125" t="s">
        <v>147</v>
      </c>
    </row>
    <row r="99" spans="2:6">
      <c r="B99" s="110">
        <v>31625.67619047613</v>
      </c>
      <c r="C99" s="110">
        <v>1581.2838095238071</v>
      </c>
      <c r="D99" s="110">
        <v>0</v>
      </c>
      <c r="E99" s="110">
        <v>0</v>
      </c>
      <c r="F99" s="125" t="s">
        <v>135</v>
      </c>
    </row>
    <row r="100" spans="2:6">
      <c r="B100" s="110">
        <v>1572.0028571428543</v>
      </c>
      <c r="C100" s="110">
        <v>78.600142857142714</v>
      </c>
      <c r="D100" s="110">
        <v>0</v>
      </c>
      <c r="E100" s="110">
        <v>0</v>
      </c>
      <c r="F100" s="125" t="s">
        <v>136</v>
      </c>
    </row>
    <row r="101" spans="2:6">
      <c r="B101" s="110">
        <v>44046.630476190381</v>
      </c>
      <c r="C101" s="110">
        <v>2202.3315238095179</v>
      </c>
      <c r="D101" s="110">
        <v>0</v>
      </c>
      <c r="E101" s="110">
        <v>0</v>
      </c>
      <c r="F101" s="125" t="s">
        <v>137</v>
      </c>
    </row>
    <row r="102" spans="2:6" ht="15.75" thickBot="1">
      <c r="B102" s="111">
        <f>SUM(B64:B101)</f>
        <v>532670.03333333239</v>
      </c>
      <c r="C102" s="111">
        <f t="shared" ref="C102:E102" si="2">SUM(C64:C101)</f>
        <v>20556.104714285681</v>
      </c>
      <c r="D102" s="111">
        <f t="shared" si="2"/>
        <v>3038.6984761904682</v>
      </c>
      <c r="E102" s="111">
        <f t="shared" si="2"/>
        <v>3038.6984761904682</v>
      </c>
    </row>
    <row r="103" spans="2:6" ht="15.75" thickTop="1"/>
  </sheetData>
  <sortState ref="A32:O56">
    <sortCondition ref="A32:A56"/>
  </sortState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4" workbookViewId="0">
      <selection activeCell="B2" sqref="B2:E35"/>
    </sheetView>
  </sheetViews>
  <sheetFormatPr defaultRowHeight="15" customHeight="1"/>
  <cols>
    <col min="1" max="1" width="42.85546875" bestFit="1" customWidth="1"/>
    <col min="2" max="2" width="19.5703125" style="109" bestFit="1" customWidth="1"/>
    <col min="3" max="3" width="11.5703125" bestFit="1" customWidth="1"/>
    <col min="4" max="5" width="9.5703125" bestFit="1" customWidth="1"/>
  </cols>
  <sheetData>
    <row r="1" spans="1:6" ht="15" customHeight="1">
      <c r="A1" s="109" t="s">
        <v>28</v>
      </c>
      <c r="B1" s="110" t="s">
        <v>34</v>
      </c>
      <c r="C1" s="110" t="s">
        <v>171</v>
      </c>
      <c r="D1" s="110" t="s">
        <v>172</v>
      </c>
      <c r="E1" s="110" t="s">
        <v>173</v>
      </c>
      <c r="F1" s="109"/>
    </row>
    <row r="2" spans="1:6" ht="15" customHeight="1">
      <c r="A2" s="126" t="s">
        <v>223</v>
      </c>
      <c r="B2" s="110">
        <v>1804.952380952378</v>
      </c>
      <c r="C2" s="110">
        <v>90.247619047618883</v>
      </c>
      <c r="D2" s="110">
        <v>0</v>
      </c>
      <c r="E2" s="110">
        <v>0</v>
      </c>
      <c r="F2" s="109"/>
    </row>
    <row r="3" spans="1:6" ht="15" customHeight="1">
      <c r="A3" s="117" t="s">
        <v>148</v>
      </c>
      <c r="B3" s="110">
        <v>79179.539999999921</v>
      </c>
      <c r="C3" s="110">
        <v>3958.9459999999954</v>
      </c>
      <c r="D3" s="110">
        <v>0</v>
      </c>
      <c r="E3" s="110">
        <v>0</v>
      </c>
      <c r="F3" s="109"/>
    </row>
    <row r="4" spans="1:6" ht="15" customHeight="1">
      <c r="A4" s="125" t="s">
        <v>224</v>
      </c>
      <c r="B4" s="110">
        <v>357.71428571428498</v>
      </c>
      <c r="C4" s="110">
        <v>17.885714285714243</v>
      </c>
      <c r="D4" s="110">
        <v>0</v>
      </c>
      <c r="E4" s="110">
        <v>0</v>
      </c>
      <c r="F4" s="109"/>
    </row>
    <row r="5" spans="1:6" ht="15" customHeight="1">
      <c r="A5" s="117" t="s">
        <v>149</v>
      </c>
      <c r="B5" s="110">
        <v>20352.683333333309</v>
      </c>
      <c r="C5" s="110">
        <v>1017.6646666666647</v>
      </c>
      <c r="D5" s="110">
        <v>0</v>
      </c>
      <c r="E5" s="110">
        <v>0</v>
      </c>
      <c r="F5" s="109"/>
    </row>
    <row r="6" spans="1:6" ht="15" customHeight="1">
      <c r="A6" s="117" t="s">
        <v>150</v>
      </c>
      <c r="B6" s="110">
        <v>46607.191428571357</v>
      </c>
      <c r="C6" s="110">
        <v>2330.3400714285685</v>
      </c>
      <c r="D6" s="110">
        <v>0</v>
      </c>
      <c r="E6" s="110">
        <v>0</v>
      </c>
      <c r="F6" s="109"/>
    </row>
    <row r="7" spans="1:6" ht="15" customHeight="1">
      <c r="A7" s="125" t="s">
        <v>225</v>
      </c>
      <c r="B7" s="110">
        <v>383.03809523809502</v>
      </c>
      <c r="C7" s="110">
        <v>19.151904761904753</v>
      </c>
      <c r="D7" s="110">
        <v>0</v>
      </c>
      <c r="E7" s="110">
        <v>0</v>
      </c>
      <c r="F7" s="109"/>
    </row>
    <row r="8" spans="1:6" ht="15" customHeight="1">
      <c r="A8" s="125" t="s">
        <v>226</v>
      </c>
      <c r="B8" s="110">
        <v>8585.9371428571339</v>
      </c>
      <c r="C8" s="110">
        <v>429.29985714285669</v>
      </c>
      <c r="D8" s="110">
        <v>0</v>
      </c>
      <c r="E8" s="110">
        <v>0</v>
      </c>
      <c r="F8" s="109"/>
    </row>
    <row r="9" spans="1:6" ht="15" customHeight="1">
      <c r="A9" s="125" t="s">
        <v>227</v>
      </c>
      <c r="B9" s="105">
        <v>1182.447142857141</v>
      </c>
      <c r="C9" s="106">
        <v>59.116857142857057</v>
      </c>
      <c r="D9" s="110">
        <v>0</v>
      </c>
      <c r="E9" s="110">
        <v>0</v>
      </c>
      <c r="F9" s="110"/>
    </row>
    <row r="10" spans="1:6" ht="15" customHeight="1">
      <c r="A10" s="117" t="s">
        <v>151</v>
      </c>
      <c r="B10" s="110">
        <v>7413.8123809523768</v>
      </c>
      <c r="C10" s="110">
        <v>370.68061904761873</v>
      </c>
      <c r="D10" s="110">
        <v>0</v>
      </c>
      <c r="E10" s="110">
        <v>0</v>
      </c>
      <c r="F10" s="109"/>
    </row>
    <row r="11" spans="1:6" ht="15" customHeight="1">
      <c r="A11" s="117" t="s">
        <v>152</v>
      </c>
      <c r="B11" s="110">
        <v>2429.9414285714274</v>
      </c>
      <c r="C11" s="110">
        <v>121.47357142857135</v>
      </c>
      <c r="D11" s="110">
        <v>0</v>
      </c>
      <c r="E11" s="110">
        <v>0</v>
      </c>
      <c r="F11" s="109"/>
    </row>
    <row r="12" spans="1:6" ht="15" customHeight="1">
      <c r="A12" s="117" t="s">
        <v>153</v>
      </c>
      <c r="B12" s="110">
        <v>13480.885238095223</v>
      </c>
      <c r="C12" s="110">
        <v>674.04376190476125</v>
      </c>
      <c r="D12" s="110">
        <v>0</v>
      </c>
      <c r="E12" s="110">
        <v>0</v>
      </c>
      <c r="F12" s="109"/>
    </row>
    <row r="13" spans="1:6" ht="15" customHeight="1">
      <c r="A13" s="117" t="s">
        <v>154</v>
      </c>
      <c r="B13" s="110">
        <v>6564.7419047618987</v>
      </c>
      <c r="C13" s="110">
        <v>328.24159523809493</v>
      </c>
      <c r="D13" s="110">
        <v>0</v>
      </c>
      <c r="E13" s="110">
        <v>0</v>
      </c>
      <c r="F13" s="109"/>
    </row>
    <row r="14" spans="1:6" ht="15" customHeight="1">
      <c r="A14" s="1" t="s">
        <v>228</v>
      </c>
      <c r="B14" s="110">
        <v>1454.4633333333322</v>
      </c>
      <c r="C14" s="110">
        <v>72.7231666666666</v>
      </c>
      <c r="D14" s="110">
        <v>0</v>
      </c>
      <c r="E14" s="110">
        <v>0</v>
      </c>
      <c r="F14" s="109"/>
    </row>
    <row r="15" spans="1:6" ht="15" customHeight="1">
      <c r="A15" s="125" t="s">
        <v>229</v>
      </c>
      <c r="B15" s="110">
        <v>261.90761904761894</v>
      </c>
      <c r="C15" s="110">
        <v>13.095380952380953</v>
      </c>
      <c r="D15" s="110">
        <v>0</v>
      </c>
      <c r="E15" s="110">
        <v>0</v>
      </c>
      <c r="F15" s="109"/>
    </row>
    <row r="16" spans="1:6" ht="15" customHeight="1">
      <c r="A16" s="117" t="s">
        <v>155</v>
      </c>
      <c r="B16" s="110">
        <v>9282.5442857142734</v>
      </c>
      <c r="C16" s="110">
        <v>464.12371428571373</v>
      </c>
      <c r="D16" s="110">
        <v>0</v>
      </c>
      <c r="E16" s="110">
        <v>0</v>
      </c>
      <c r="F16" s="109"/>
    </row>
    <row r="17" spans="1:6" ht="15" customHeight="1">
      <c r="A17" s="117" t="s">
        <v>156</v>
      </c>
      <c r="B17" s="110">
        <v>85667.536666666478</v>
      </c>
      <c r="C17" s="110">
        <v>4283.372333333331</v>
      </c>
      <c r="D17" s="110">
        <v>0</v>
      </c>
      <c r="E17" s="110">
        <v>0</v>
      </c>
      <c r="F17" s="109"/>
    </row>
    <row r="18" spans="1:6" ht="15" customHeight="1">
      <c r="A18" s="117" t="s">
        <v>157</v>
      </c>
      <c r="B18" s="110">
        <v>122155.81190476182</v>
      </c>
      <c r="C18" s="110">
        <v>6107.6315952380901</v>
      </c>
      <c r="D18" s="110">
        <v>0</v>
      </c>
      <c r="E18" s="110">
        <v>0</v>
      </c>
      <c r="F18" s="109"/>
    </row>
    <row r="19" spans="1:6" ht="15" customHeight="1">
      <c r="A19" s="1" t="s">
        <v>230</v>
      </c>
      <c r="B19" s="110">
        <v>533.33000000000004</v>
      </c>
      <c r="C19" s="110">
        <v>26.666499999999999</v>
      </c>
      <c r="D19" s="110">
        <v>0</v>
      </c>
      <c r="E19" s="110">
        <v>0</v>
      </c>
      <c r="F19" s="109"/>
    </row>
    <row r="20" spans="1:6" ht="15" customHeight="1">
      <c r="A20" s="117" t="s">
        <v>158</v>
      </c>
      <c r="B20" s="110">
        <v>9269.30666666666</v>
      </c>
      <c r="C20" s="110">
        <v>463.440333333333</v>
      </c>
      <c r="D20" s="110">
        <v>0</v>
      </c>
      <c r="E20" s="110">
        <v>0</v>
      </c>
      <c r="F20" s="109"/>
    </row>
    <row r="21" spans="1:6" ht="15" customHeight="1">
      <c r="A21" s="117" t="s">
        <v>159</v>
      </c>
      <c r="B21" s="110">
        <v>44999.546666666596</v>
      </c>
      <c r="C21" s="110">
        <v>2249.9623333333311</v>
      </c>
      <c r="D21" s="110">
        <v>0</v>
      </c>
      <c r="E21" s="110">
        <v>0</v>
      </c>
      <c r="F21" s="109"/>
    </row>
    <row r="22" spans="1:6" ht="15" customHeight="1">
      <c r="A22" s="125" t="s">
        <v>231</v>
      </c>
      <c r="B22" s="110">
        <v>0</v>
      </c>
      <c r="C22" s="110">
        <v>0</v>
      </c>
      <c r="D22" s="110">
        <v>0</v>
      </c>
      <c r="E22" s="110">
        <v>0</v>
      </c>
      <c r="F22" s="109"/>
    </row>
    <row r="23" spans="1:6" ht="15" customHeight="1">
      <c r="A23" s="117" t="s">
        <v>160</v>
      </c>
      <c r="B23" s="110">
        <v>1480.2957142857131</v>
      </c>
      <c r="C23" s="110">
        <v>74.014285714285649</v>
      </c>
      <c r="D23" s="110">
        <v>0</v>
      </c>
      <c r="E23" s="110">
        <v>0</v>
      </c>
      <c r="F23" s="109"/>
    </row>
    <row r="24" spans="1:6" ht="15" customHeight="1">
      <c r="A24" s="117" t="s">
        <v>232</v>
      </c>
      <c r="B24" s="110">
        <v>1631.612857142856</v>
      </c>
      <c r="C24" s="110">
        <v>81.587142857142695</v>
      </c>
      <c r="D24" s="110">
        <v>0</v>
      </c>
      <c r="E24" s="110">
        <v>0</v>
      </c>
      <c r="F24" s="109"/>
    </row>
    <row r="25" spans="1:6" ht="15" customHeight="1">
      <c r="A25" s="117" t="s">
        <v>161</v>
      </c>
      <c r="B25" s="110">
        <v>13030.933333333305</v>
      </c>
      <c r="C25" s="110">
        <v>651.53166666666584</v>
      </c>
      <c r="D25" s="110">
        <v>0</v>
      </c>
      <c r="E25" s="110">
        <v>0</v>
      </c>
      <c r="F25" s="109"/>
    </row>
    <row r="26" spans="1:6" ht="15" customHeight="1">
      <c r="A26" s="125" t="s">
        <v>233</v>
      </c>
      <c r="B26" s="110">
        <v>2069.780476190474</v>
      </c>
      <c r="C26" s="110">
        <v>103.48952380952372</v>
      </c>
      <c r="D26" s="110">
        <v>0</v>
      </c>
      <c r="E26" s="110">
        <v>0</v>
      </c>
      <c r="F26" s="109"/>
    </row>
    <row r="27" spans="1:6" ht="15" customHeight="1">
      <c r="A27" s="1" t="s">
        <v>180</v>
      </c>
      <c r="B27" s="110">
        <v>3282.2838095238076</v>
      </c>
      <c r="C27" s="110">
        <v>164.11419047619034</v>
      </c>
      <c r="D27" s="110">
        <v>0</v>
      </c>
      <c r="E27" s="110">
        <v>0</v>
      </c>
      <c r="F27" s="109"/>
    </row>
    <row r="28" spans="1:6" ht="15" customHeight="1">
      <c r="A28" s="117" t="s">
        <v>162</v>
      </c>
      <c r="B28" s="110">
        <v>11419.52142857141</v>
      </c>
      <c r="C28" s="110">
        <v>570.98607142857065</v>
      </c>
      <c r="D28" s="110">
        <v>0</v>
      </c>
      <c r="E28" s="110">
        <v>0</v>
      </c>
      <c r="F28" s="109"/>
    </row>
    <row r="29" spans="1:6" ht="15" customHeight="1">
      <c r="A29" s="117" t="s">
        <v>181</v>
      </c>
      <c r="B29" s="110">
        <v>579.65047619047596</v>
      </c>
      <c r="C29" s="110">
        <v>28.989523809523799</v>
      </c>
      <c r="D29" s="110">
        <v>0</v>
      </c>
      <c r="E29" s="110">
        <v>0</v>
      </c>
      <c r="F29" s="109"/>
    </row>
    <row r="30" spans="1:6" ht="15" customHeight="1">
      <c r="A30" s="1" t="s">
        <v>163</v>
      </c>
      <c r="B30" s="110">
        <v>173323.31904761883</v>
      </c>
      <c r="C30" s="110">
        <v>0</v>
      </c>
      <c r="D30" s="110">
        <v>4333.0829761904679</v>
      </c>
      <c r="E30" s="110">
        <v>4333.0829761904679</v>
      </c>
      <c r="F30" s="109"/>
    </row>
    <row r="31" spans="1:6" ht="15" customHeight="1">
      <c r="A31" s="117" t="s">
        <v>164</v>
      </c>
      <c r="B31" s="110">
        <v>53483.781904761883</v>
      </c>
      <c r="C31" s="110">
        <v>2674.1960952380932</v>
      </c>
      <c r="D31" s="110">
        <v>0</v>
      </c>
      <c r="E31" s="110">
        <v>0</v>
      </c>
      <c r="F31" s="109"/>
    </row>
    <row r="32" spans="1:6" ht="15" customHeight="1">
      <c r="A32" s="117" t="s">
        <v>165</v>
      </c>
      <c r="B32" s="110">
        <v>2664.8028571428549</v>
      </c>
      <c r="C32" s="110">
        <v>133.23614285714277</v>
      </c>
      <c r="D32" s="110">
        <v>0</v>
      </c>
      <c r="E32" s="110">
        <v>0</v>
      </c>
      <c r="F32" s="109"/>
    </row>
    <row r="33" spans="1:6" ht="15" customHeight="1">
      <c r="A33" s="117" t="s">
        <v>166</v>
      </c>
      <c r="B33" s="110">
        <v>39318.986190476127</v>
      </c>
      <c r="C33" s="110">
        <v>1965.969809523807</v>
      </c>
      <c r="D33" s="110">
        <v>0</v>
      </c>
      <c r="E33" s="110">
        <v>0</v>
      </c>
      <c r="F33" s="109"/>
    </row>
    <row r="34" spans="1:6" ht="15" customHeight="1">
      <c r="A34" s="117" t="s">
        <v>234</v>
      </c>
      <c r="B34" s="110">
        <v>2485.8728571428542</v>
      </c>
      <c r="C34" s="110">
        <v>124.28664285714271</v>
      </c>
      <c r="D34" s="110">
        <v>0</v>
      </c>
      <c r="E34" s="110">
        <v>0</v>
      </c>
      <c r="F34" s="109"/>
    </row>
    <row r="35" spans="1:6" ht="15" customHeight="1">
      <c r="A35" s="117" t="s">
        <v>167</v>
      </c>
      <c r="B35" s="110">
        <v>59050.320476190369</v>
      </c>
      <c r="C35" s="110">
        <v>2952.5225238095181</v>
      </c>
      <c r="D35" s="110">
        <v>0</v>
      </c>
      <c r="E35" s="110">
        <v>0</v>
      </c>
      <c r="F35" s="109"/>
    </row>
    <row r="36" spans="1:6" ht="15" customHeight="1" thickBot="1">
      <c r="B36" s="111">
        <f t="shared" ref="B36:E36" si="0">SUM(B2:B35)</f>
        <v>825788.49333333224</v>
      </c>
      <c r="C36" s="111">
        <f t="shared" si="0"/>
        <v>32623.031214285678</v>
      </c>
      <c r="D36" s="111">
        <f t="shared" si="0"/>
        <v>4333.0829761904679</v>
      </c>
      <c r="E36" s="111">
        <f t="shared" si="0"/>
        <v>4333.0829761904679</v>
      </c>
    </row>
    <row r="37" spans="1:6" ht="15" customHeight="1" thickTop="1"/>
  </sheetData>
  <sortState ref="A2:G34">
    <sortCondition ref="A2:A3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47"/>
  <sheetViews>
    <sheetView zoomScaleNormal="100" workbookViewId="0">
      <selection activeCell="C13" sqref="C13:C20"/>
    </sheetView>
  </sheetViews>
  <sheetFormatPr defaultRowHeight="15"/>
  <cols>
    <col min="1" max="1" width="9.140625" style="110"/>
    <col min="2" max="2" width="14" style="110" bestFit="1" customWidth="1"/>
    <col min="3" max="3" width="9.140625" style="110"/>
    <col min="4" max="4" width="9.5703125" style="110" bestFit="1" customWidth="1"/>
    <col min="5" max="5" width="9.140625" style="110"/>
    <col min="6" max="6" width="14.42578125" style="110" bestFit="1" customWidth="1"/>
    <col min="7" max="7" width="10.5703125" style="110" bestFit="1" customWidth="1"/>
    <col min="8" max="8" width="9.5703125" style="110" bestFit="1" customWidth="1"/>
    <col min="9" max="9" width="9.5703125" style="14" bestFit="1" customWidth="1"/>
    <col min="10" max="89" width="9.140625" style="14"/>
    <col min="90" max="16384" width="9.140625" style="110"/>
  </cols>
  <sheetData>
    <row r="2" spans="1:9">
      <c r="A2" s="104" t="s">
        <v>201</v>
      </c>
    </row>
    <row r="3" spans="1:9">
      <c r="A3" s="110" t="s">
        <v>170</v>
      </c>
    </row>
    <row r="4" spans="1:9">
      <c r="B4" s="110" t="s">
        <v>202</v>
      </c>
      <c r="C4" s="110" t="s">
        <v>203</v>
      </c>
      <c r="D4" s="110" t="s">
        <v>204</v>
      </c>
      <c r="E4" s="110" t="s">
        <v>171</v>
      </c>
      <c r="F4" s="110" t="s">
        <v>172</v>
      </c>
      <c r="G4" s="110" t="s">
        <v>205</v>
      </c>
    </row>
    <row r="5" spans="1:9">
      <c r="B5" s="1">
        <v>6109</v>
      </c>
      <c r="C5" s="109">
        <v>1</v>
      </c>
      <c r="D5" s="109">
        <v>376.68</v>
      </c>
      <c r="E5" s="109">
        <v>18.834</v>
      </c>
      <c r="F5" s="109">
        <v>0</v>
      </c>
      <c r="G5" s="109">
        <v>0</v>
      </c>
    </row>
    <row r="6" spans="1:9">
      <c r="B6" s="1">
        <v>610510</v>
      </c>
      <c r="C6" s="109">
        <v>3</v>
      </c>
      <c r="D6" s="109">
        <v>1767.15</v>
      </c>
      <c r="E6" s="109">
        <v>67.643000000000001</v>
      </c>
      <c r="F6" s="109">
        <v>10.357250000000001</v>
      </c>
      <c r="G6" s="109">
        <v>10.357250000000001</v>
      </c>
    </row>
    <row r="7" spans="1:9">
      <c r="B7" s="1">
        <v>52092910</v>
      </c>
      <c r="C7" s="109">
        <v>2</v>
      </c>
      <c r="D7" s="109">
        <v>1509.04</v>
      </c>
      <c r="E7" s="109">
        <v>75.451999999999998</v>
      </c>
      <c r="F7" s="109">
        <v>0</v>
      </c>
      <c r="G7" s="109">
        <v>0</v>
      </c>
    </row>
    <row r="8" spans="1:9" ht="15.75" thickBot="1">
      <c r="C8" s="111">
        <f>SUM(C5:C7)</f>
        <v>6</v>
      </c>
      <c r="D8" s="111">
        <f>SUM(D5:D7)</f>
        <v>3652.87</v>
      </c>
      <c r="E8" s="111">
        <f>SUM(E5:E7)</f>
        <v>161.929</v>
      </c>
      <c r="F8" s="111">
        <f>SUM(F5:F7)</f>
        <v>10.357250000000001</v>
      </c>
      <c r="G8" s="111">
        <f>SUM(G5:G7)</f>
        <v>10.357250000000001</v>
      </c>
    </row>
    <row r="9" spans="1:9" ht="15.75" thickTop="1"/>
    <row r="10" spans="1:9">
      <c r="A10" s="110" t="s">
        <v>174</v>
      </c>
    </row>
    <row r="11" spans="1:9">
      <c r="A11" s="110" t="s">
        <v>170</v>
      </c>
    </row>
    <row r="12" spans="1:9">
      <c r="B12" s="110" t="s">
        <v>203</v>
      </c>
      <c r="C12" s="110" t="s">
        <v>202</v>
      </c>
      <c r="F12" s="110" t="s">
        <v>206</v>
      </c>
      <c r="G12" s="110" t="s">
        <v>171</v>
      </c>
      <c r="H12" s="110" t="s">
        <v>172</v>
      </c>
      <c r="I12" s="14" t="s">
        <v>173</v>
      </c>
    </row>
    <row r="13" spans="1:9">
      <c r="B13" s="109">
        <v>4</v>
      </c>
      <c r="C13" s="1">
        <v>6109</v>
      </c>
      <c r="D13" s="109"/>
      <c r="E13" s="109"/>
      <c r="F13" s="110">
        <v>1536.2</v>
      </c>
      <c r="G13" s="110">
        <v>56.81</v>
      </c>
      <c r="H13" s="110">
        <v>10</v>
      </c>
      <c r="I13" s="110">
        <v>10</v>
      </c>
    </row>
    <row r="14" spans="1:9">
      <c r="B14" s="109">
        <v>233</v>
      </c>
      <c r="C14" s="1">
        <v>610510</v>
      </c>
      <c r="D14" s="109"/>
      <c r="E14" s="109"/>
      <c r="F14" s="110">
        <v>131500.61000000002</v>
      </c>
      <c r="G14" s="110">
        <v>5490.8265000000047</v>
      </c>
      <c r="H14" s="110">
        <v>542.10200000000009</v>
      </c>
      <c r="I14" s="110">
        <v>542.10200000000009</v>
      </c>
    </row>
    <row r="15" spans="1:9">
      <c r="B15" s="109">
        <v>3</v>
      </c>
      <c r="C15" s="118">
        <v>52082110</v>
      </c>
      <c r="D15" s="109"/>
      <c r="E15" s="109"/>
      <c r="F15" s="110">
        <v>1131.44</v>
      </c>
      <c r="G15" s="110">
        <v>38.048000000000002</v>
      </c>
      <c r="H15" s="110">
        <v>9.2620000000000005</v>
      </c>
      <c r="I15" s="110">
        <v>9.2620000000000005</v>
      </c>
    </row>
    <row r="16" spans="1:9">
      <c r="B16" s="109">
        <v>14</v>
      </c>
      <c r="C16" s="1">
        <v>52082210</v>
      </c>
      <c r="D16" s="109"/>
      <c r="E16" s="109"/>
      <c r="F16" s="110">
        <v>5702.0000000000009</v>
      </c>
      <c r="G16" s="110">
        <v>163.19200000000001</v>
      </c>
      <c r="H16" s="110">
        <v>60.954000000000008</v>
      </c>
      <c r="I16" s="110">
        <v>60.954000000000008</v>
      </c>
    </row>
    <row r="17" spans="1:17">
      <c r="B17" s="109">
        <v>13</v>
      </c>
      <c r="C17" s="1">
        <v>52083110</v>
      </c>
      <c r="D17" s="109"/>
      <c r="E17" s="109"/>
      <c r="F17" s="110">
        <v>6600</v>
      </c>
      <c r="G17" s="110">
        <v>303.80899999999997</v>
      </c>
      <c r="H17" s="110">
        <v>13.095500000000001</v>
      </c>
      <c r="I17" s="110">
        <v>13.095500000000001</v>
      </c>
    </row>
    <row r="18" spans="1:17">
      <c r="B18" s="109">
        <v>2</v>
      </c>
      <c r="C18" s="1">
        <v>52083210</v>
      </c>
      <c r="D18" s="109"/>
      <c r="E18" s="109"/>
      <c r="F18" s="110">
        <v>961.88</v>
      </c>
      <c r="G18" s="110">
        <v>0</v>
      </c>
      <c r="H18" s="110">
        <v>24.046999999999997</v>
      </c>
      <c r="I18" s="110">
        <v>24.046999999999997</v>
      </c>
    </row>
    <row r="19" spans="1:17">
      <c r="B19" s="109">
        <v>19</v>
      </c>
      <c r="C19" s="1">
        <v>52092910</v>
      </c>
      <c r="D19" s="109"/>
      <c r="E19" s="109"/>
      <c r="F19" s="110">
        <v>9846.7799999999988</v>
      </c>
      <c r="G19" s="110">
        <v>356.62199999999996</v>
      </c>
      <c r="H19" s="110">
        <v>67.858500000000006</v>
      </c>
      <c r="I19" s="110">
        <v>67.858500000000006</v>
      </c>
    </row>
    <row r="20" spans="1:17">
      <c r="B20" s="109">
        <v>2</v>
      </c>
      <c r="C20" s="118">
        <v>61119090</v>
      </c>
      <c r="D20" s="109"/>
      <c r="E20" s="109"/>
      <c r="F20" s="110">
        <v>752.38</v>
      </c>
      <c r="G20" s="110">
        <v>37.619</v>
      </c>
      <c r="H20" s="110">
        <v>0</v>
      </c>
      <c r="I20" s="110">
        <v>0</v>
      </c>
    </row>
    <row r="21" spans="1:17" ht="15.75" thickBot="1">
      <c r="B21" s="111">
        <f>SUM(B13:B20)</f>
        <v>290</v>
      </c>
      <c r="F21" s="111">
        <f t="shared" ref="F21:I21" si="0">SUM(F13:F20)</f>
        <v>158031.29000000004</v>
      </c>
      <c r="G21" s="111">
        <f t="shared" si="0"/>
        <v>6446.926500000005</v>
      </c>
      <c r="H21" s="111">
        <f t="shared" si="0"/>
        <v>727.31900000000007</v>
      </c>
      <c r="I21" s="111">
        <f t="shared" si="0"/>
        <v>727.31900000000007</v>
      </c>
    </row>
    <row r="22" spans="1:17" ht="15.75" thickTop="1"/>
    <row r="24" spans="1:17">
      <c r="A24" s="110" t="s">
        <v>89</v>
      </c>
    </row>
    <row r="25" spans="1:17">
      <c r="B25" s="110" t="s">
        <v>203</v>
      </c>
      <c r="C25" s="110" t="s">
        <v>202</v>
      </c>
      <c r="F25" s="110" t="s">
        <v>206</v>
      </c>
      <c r="G25" s="110" t="s">
        <v>171</v>
      </c>
      <c r="H25" s="110" t="s">
        <v>172</v>
      </c>
      <c r="I25" s="14" t="s">
        <v>173</v>
      </c>
    </row>
    <row r="26" spans="1:17">
      <c r="B26" s="110">
        <v>501</v>
      </c>
      <c r="C26" s="95" t="s">
        <v>211</v>
      </c>
      <c r="F26" s="105">
        <v>135087.17000000001</v>
      </c>
      <c r="G26" s="105">
        <v>5620</v>
      </c>
      <c r="H26" s="105">
        <v>567.04</v>
      </c>
      <c r="I26" s="105">
        <v>567.04</v>
      </c>
    </row>
    <row r="28" spans="1:17" ht="15.75" thickBot="1">
      <c r="B28" s="111">
        <f t="shared" ref="B28:I28" si="1">SUM(B26:B27)</f>
        <v>501</v>
      </c>
      <c r="C28" s="111">
        <f t="shared" si="1"/>
        <v>0</v>
      </c>
      <c r="D28" s="111">
        <f t="shared" si="1"/>
        <v>0</v>
      </c>
      <c r="E28" s="111">
        <f t="shared" si="1"/>
        <v>0</v>
      </c>
      <c r="F28" s="111">
        <f t="shared" si="1"/>
        <v>135087.17000000001</v>
      </c>
      <c r="G28" s="111">
        <f t="shared" si="1"/>
        <v>5620</v>
      </c>
      <c r="H28" s="111">
        <f t="shared" si="1"/>
        <v>567.04</v>
      </c>
      <c r="I28" s="111">
        <f t="shared" si="1"/>
        <v>567.04</v>
      </c>
    </row>
    <row r="29" spans="1:17" ht="15.75" thickTop="1"/>
    <row r="31" spans="1:17">
      <c r="A31" s="110" t="s">
        <v>85</v>
      </c>
    </row>
    <row r="32" spans="1:17">
      <c r="B32" s="110" t="s">
        <v>203</v>
      </c>
      <c r="C32" s="110" t="s">
        <v>202</v>
      </c>
      <c r="F32" s="110" t="s">
        <v>206</v>
      </c>
      <c r="G32" s="110" t="s">
        <v>171</v>
      </c>
      <c r="H32" s="110" t="s">
        <v>172</v>
      </c>
      <c r="I32" s="14" t="s">
        <v>173</v>
      </c>
      <c r="L32" s="109"/>
      <c r="M32" s="110"/>
      <c r="N32" s="110"/>
      <c r="O32" s="110"/>
      <c r="P32" s="110"/>
      <c r="Q32" s="110"/>
    </row>
    <row r="33" spans="2:9">
      <c r="B33" s="110">
        <v>1</v>
      </c>
      <c r="C33" s="120">
        <v>3926</v>
      </c>
      <c r="F33" s="110">
        <v>373.33333333333297</v>
      </c>
      <c r="G33" s="110">
        <v>18.66666666666665</v>
      </c>
      <c r="H33" s="110">
        <v>0</v>
      </c>
      <c r="I33" s="110">
        <v>0</v>
      </c>
    </row>
    <row r="34" spans="2:9">
      <c r="B34" s="110">
        <v>649</v>
      </c>
      <c r="C34" s="120">
        <v>6211</v>
      </c>
      <c r="F34" s="110">
        <v>183643.6766666664</v>
      </c>
      <c r="G34" s="110">
        <v>7911.0842142857182</v>
      </c>
      <c r="H34" s="110">
        <v>635.54980952380822</v>
      </c>
      <c r="I34" s="110">
        <v>635.54980952380822</v>
      </c>
    </row>
    <row r="35" spans="2:9">
      <c r="B35" s="110">
        <v>2</v>
      </c>
      <c r="C35" s="120">
        <v>6302</v>
      </c>
      <c r="F35" s="110">
        <v>673.33333333333201</v>
      </c>
      <c r="G35" s="110">
        <v>33.6666666666666</v>
      </c>
      <c r="H35" s="110">
        <v>0</v>
      </c>
      <c r="I35" s="110">
        <v>0</v>
      </c>
    </row>
    <row r="36" spans="2:9">
      <c r="B36" s="110">
        <v>2</v>
      </c>
      <c r="C36" s="120">
        <v>6304</v>
      </c>
      <c r="F36" s="110">
        <v>807.13333333333298</v>
      </c>
      <c r="G36" s="110">
        <v>40.356666666666648</v>
      </c>
      <c r="H36" s="110">
        <v>0</v>
      </c>
      <c r="I36" s="110">
        <v>0</v>
      </c>
    </row>
    <row r="37" spans="2:9">
      <c r="B37" s="110">
        <v>1</v>
      </c>
      <c r="C37" s="120">
        <v>580610</v>
      </c>
      <c r="F37" s="110">
        <v>-570.54285714285288</v>
      </c>
      <c r="G37" s="110">
        <v>-55.093333333333092</v>
      </c>
      <c r="H37" s="110">
        <v>13.283095238095225</v>
      </c>
      <c r="I37" s="110">
        <v>13.283095238095225</v>
      </c>
    </row>
    <row r="38" spans="2:9">
      <c r="B38" s="110">
        <v>142</v>
      </c>
      <c r="C38" s="120">
        <v>611420</v>
      </c>
      <c r="F38" s="110">
        <v>39204.902857142806</v>
      </c>
      <c r="G38" s="110">
        <v>1637.1279999999983</v>
      </c>
      <c r="H38" s="110">
        <v>161.55857142857118</v>
      </c>
      <c r="I38" s="110">
        <v>161.55857142857118</v>
      </c>
    </row>
    <row r="39" spans="2:9">
      <c r="B39" s="110">
        <v>3</v>
      </c>
      <c r="C39" s="120">
        <v>620920</v>
      </c>
      <c r="F39" s="110">
        <v>1201.6952380952362</v>
      </c>
      <c r="G39" s="110">
        <v>42.428571428571352</v>
      </c>
      <c r="H39" s="110">
        <v>8.8280952380952247</v>
      </c>
      <c r="I39" s="110">
        <v>8.8280952380952247</v>
      </c>
    </row>
    <row r="40" spans="2:9">
      <c r="B40" s="110">
        <v>825</v>
      </c>
      <c r="C40" s="120">
        <v>621132</v>
      </c>
      <c r="F40" s="110">
        <v>300993.72999999975</v>
      </c>
      <c r="G40" s="110">
        <v>10732.300119047621</v>
      </c>
      <c r="H40" s="110">
        <v>2158.6931904761846</v>
      </c>
      <c r="I40" s="110">
        <v>2158.6931904761846</v>
      </c>
    </row>
    <row r="41" spans="2:9">
      <c r="B41" s="110">
        <v>6</v>
      </c>
      <c r="C41" s="120">
        <v>621133</v>
      </c>
      <c r="F41" s="110">
        <v>1570.8380952380919</v>
      </c>
      <c r="G41" s="110">
        <v>64.684761904761743</v>
      </c>
      <c r="H41" s="110">
        <v>6.9285714285714244</v>
      </c>
      <c r="I41" s="110">
        <v>6.9285714285714244</v>
      </c>
    </row>
    <row r="42" spans="2:9">
      <c r="B42" s="110">
        <v>0</v>
      </c>
      <c r="C42" s="120">
        <v>621139</v>
      </c>
      <c r="F42" s="110">
        <v>-77.14285714285694</v>
      </c>
      <c r="G42" s="110">
        <v>-27.619047619047596</v>
      </c>
      <c r="H42" s="110">
        <v>11.880952380952374</v>
      </c>
      <c r="I42" s="110">
        <v>11.880952380952374</v>
      </c>
    </row>
    <row r="43" spans="2:9">
      <c r="B43" s="110">
        <v>2</v>
      </c>
      <c r="C43" s="120">
        <v>630260</v>
      </c>
      <c r="F43" s="110">
        <v>987.619047619046</v>
      </c>
      <c r="G43" s="110">
        <v>27.238095238095202</v>
      </c>
      <c r="H43" s="110">
        <v>11.07142857142855</v>
      </c>
      <c r="I43" s="110">
        <v>11.07142857142855</v>
      </c>
    </row>
    <row r="44" spans="2:9">
      <c r="B44" s="110">
        <v>1</v>
      </c>
      <c r="C44" s="120">
        <v>630419</v>
      </c>
      <c r="F44" s="110">
        <v>506.666666666666</v>
      </c>
      <c r="G44" s="110">
        <v>25.3333333333333</v>
      </c>
      <c r="H44" s="110">
        <v>0</v>
      </c>
      <c r="I44" s="110">
        <v>0</v>
      </c>
    </row>
    <row r="45" spans="2:9">
      <c r="B45" s="110">
        <v>11</v>
      </c>
      <c r="C45" s="120">
        <v>630492</v>
      </c>
      <c r="F45" s="110">
        <v>3354.7904761904692</v>
      </c>
      <c r="G45" s="110">
        <v>105.92999999999975</v>
      </c>
      <c r="H45" s="110">
        <v>30.904761904761852</v>
      </c>
      <c r="I45" s="110">
        <v>30.904761904761852</v>
      </c>
    </row>
    <row r="46" spans="2:9" ht="15.75" thickBot="1">
      <c r="B46" s="111">
        <f t="shared" ref="B46:I46" si="2">SUM(B33:B45)</f>
        <v>1645</v>
      </c>
      <c r="C46" s="111">
        <f t="shared" si="2"/>
        <v>5590268</v>
      </c>
      <c r="D46" s="111">
        <f t="shared" si="2"/>
        <v>0</v>
      </c>
      <c r="E46" s="111">
        <f t="shared" si="2"/>
        <v>0</v>
      </c>
      <c r="F46" s="111">
        <f t="shared" si="2"/>
        <v>532670.03333333286</v>
      </c>
      <c r="G46" s="111">
        <f t="shared" si="2"/>
        <v>20556.104714285721</v>
      </c>
      <c r="H46" s="111">
        <f t="shared" si="2"/>
        <v>3038.6984761904687</v>
      </c>
      <c r="I46" s="111">
        <f t="shared" si="2"/>
        <v>3038.6984761904687</v>
      </c>
    </row>
    <row r="47" spans="2:9" ht="15.75" thickTop="1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5"/>
  <sheetViews>
    <sheetView workbookViewId="0">
      <selection activeCell="B19" sqref="B19"/>
    </sheetView>
  </sheetViews>
  <sheetFormatPr defaultRowHeight="15"/>
  <cols>
    <col min="1" max="1" width="9.140625" style="67"/>
    <col min="2" max="2" width="19.85546875" style="67" bestFit="1" customWidth="1"/>
    <col min="3" max="3" width="21.7109375" style="67" customWidth="1"/>
    <col min="4" max="4" width="21.140625" style="67" bestFit="1" customWidth="1"/>
    <col min="5" max="5" width="11.42578125" style="67" customWidth="1"/>
    <col min="6" max="6" width="12.5703125" style="67" customWidth="1"/>
    <col min="7" max="7" width="13.7109375" style="67" customWidth="1"/>
    <col min="8" max="8" width="9.140625" style="67"/>
    <col min="9" max="9" width="9.140625" style="31"/>
    <col min="10" max="10" width="21.5703125" style="67" customWidth="1"/>
    <col min="11" max="11" width="26.85546875" style="67" customWidth="1"/>
    <col min="12" max="16384" width="9.140625" style="67"/>
  </cols>
  <sheetData>
    <row r="3" spans="2:13" ht="63">
      <c r="B3" s="90" t="s">
        <v>81</v>
      </c>
      <c r="C3" s="91" t="s">
        <v>76</v>
      </c>
      <c r="D3" s="91" t="s">
        <v>77</v>
      </c>
      <c r="E3" s="91" t="s">
        <v>78</v>
      </c>
      <c r="F3" s="91" t="s">
        <v>79</v>
      </c>
      <c r="G3" s="91" t="s">
        <v>80</v>
      </c>
    </row>
    <row r="4" spans="2:13">
      <c r="B4" s="67" t="s">
        <v>87</v>
      </c>
      <c r="C4" s="109" t="s">
        <v>199</v>
      </c>
      <c r="D4" s="109" t="s">
        <v>200</v>
      </c>
      <c r="E4" s="121">
        <f>1301-983+1</f>
        <v>319</v>
      </c>
      <c r="F4" s="121">
        <v>117</v>
      </c>
      <c r="G4" s="122">
        <f>E4-F4</f>
        <v>202</v>
      </c>
      <c r="I4" s="95"/>
      <c r="J4" s="109"/>
      <c r="K4" s="109"/>
      <c r="L4" s="95"/>
      <c r="M4" s="95"/>
    </row>
    <row r="5" spans="2:13">
      <c r="B5" s="67" t="s">
        <v>89</v>
      </c>
      <c r="C5" s="95" t="s">
        <v>209</v>
      </c>
      <c r="D5" s="95" t="s">
        <v>210</v>
      </c>
      <c r="E5" s="106">
        <v>665</v>
      </c>
      <c r="F5" s="106">
        <v>0</v>
      </c>
      <c r="G5" s="106">
        <v>665</v>
      </c>
      <c r="I5" s="67"/>
      <c r="J5" s="95"/>
      <c r="K5" s="95"/>
    </row>
    <row r="6" spans="2:13">
      <c r="B6" s="67" t="s">
        <v>85</v>
      </c>
      <c r="C6" s="67" t="s">
        <v>212</v>
      </c>
      <c r="D6" s="67" t="s">
        <v>213</v>
      </c>
      <c r="E6" s="121">
        <v>2132</v>
      </c>
      <c r="F6" s="121">
        <v>416</v>
      </c>
      <c r="G6" s="121">
        <f>E6-F6</f>
        <v>1716</v>
      </c>
      <c r="I6" s="67"/>
    </row>
    <row r="7" spans="2:13">
      <c r="B7" s="95" t="s">
        <v>75</v>
      </c>
      <c r="C7" s="95"/>
      <c r="D7" s="95"/>
      <c r="E7" s="122"/>
      <c r="F7" s="122"/>
      <c r="G7" s="122">
        <v>0</v>
      </c>
      <c r="L7" s="95"/>
      <c r="M7" s="95"/>
    </row>
    <row r="8" spans="2:13">
      <c r="B8" s="77" t="s">
        <v>86</v>
      </c>
      <c r="I8" s="95"/>
      <c r="J8" s="95"/>
      <c r="K8" s="95"/>
      <c r="L8" s="95"/>
      <c r="M8" s="95"/>
    </row>
    <row r="9" spans="2:13">
      <c r="I9" s="67"/>
    </row>
    <row r="10" spans="2:13" ht="63">
      <c r="B10" s="90" t="s">
        <v>81</v>
      </c>
      <c r="C10" s="91" t="s">
        <v>76</v>
      </c>
      <c r="D10" s="91" t="s">
        <v>77</v>
      </c>
      <c r="E10" s="91" t="s">
        <v>78</v>
      </c>
      <c r="F10" s="91" t="s">
        <v>79</v>
      </c>
      <c r="G10" s="91" t="s">
        <v>80</v>
      </c>
      <c r="I10" s="67"/>
    </row>
    <row r="11" spans="2:13">
      <c r="B11" s="67" t="s">
        <v>87</v>
      </c>
      <c r="C11" s="109" t="s">
        <v>197</v>
      </c>
      <c r="D11" s="109" t="s">
        <v>198</v>
      </c>
      <c r="E11" s="67">
        <f>138-116+1</f>
        <v>23</v>
      </c>
      <c r="F11" s="67">
        <v>0</v>
      </c>
      <c r="G11" s="67">
        <f>E11</f>
        <v>23</v>
      </c>
      <c r="I11" s="67"/>
    </row>
    <row r="12" spans="2:13">
      <c r="C12" s="68"/>
      <c r="D12" s="68"/>
      <c r="I12" s="67"/>
    </row>
    <row r="13" spans="2:13">
      <c r="I13" s="67"/>
    </row>
    <row r="14" spans="2:13">
      <c r="I14" s="67"/>
    </row>
    <row r="15" spans="2:13">
      <c r="I15" s="67"/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E2" sqref="E2:H22"/>
    </sheetView>
  </sheetViews>
  <sheetFormatPr defaultRowHeight="15" customHeight="1"/>
  <cols>
    <col min="1" max="1" width="9.140625" style="108"/>
    <col min="2" max="2" width="9.5703125" bestFit="1" customWidth="1"/>
    <col min="5" max="5" width="14.42578125" bestFit="1" customWidth="1"/>
    <col min="6" max="6" width="10.5703125" bestFit="1" customWidth="1"/>
    <col min="7" max="8" width="9.5703125" bestFit="1" customWidth="1"/>
  </cols>
  <sheetData>
    <row r="1" spans="1:8" ht="15" customHeight="1">
      <c r="A1" s="110" t="s">
        <v>203</v>
      </c>
      <c r="B1" s="110" t="s">
        <v>202</v>
      </c>
      <c r="C1" s="110"/>
      <c r="D1" s="110"/>
      <c r="E1" s="110" t="s">
        <v>206</v>
      </c>
      <c r="F1" s="110" t="s">
        <v>171</v>
      </c>
      <c r="G1" s="110" t="s">
        <v>172</v>
      </c>
      <c r="H1" s="14" t="s">
        <v>173</v>
      </c>
    </row>
    <row r="2" spans="1:8" ht="15" customHeight="1">
      <c r="A2" s="110">
        <v>1</v>
      </c>
      <c r="B2" s="128">
        <v>3926</v>
      </c>
      <c r="C2" s="110"/>
      <c r="D2" s="110"/>
      <c r="E2" s="110">
        <v>373.33333333333297</v>
      </c>
      <c r="F2" s="110">
        <v>18.66666666666665</v>
      </c>
      <c r="G2" s="110">
        <v>0</v>
      </c>
      <c r="H2" s="110">
        <v>0</v>
      </c>
    </row>
    <row r="3" spans="1:8" ht="15" customHeight="1">
      <c r="A3" s="109">
        <v>4</v>
      </c>
      <c r="B3" s="1">
        <v>6109</v>
      </c>
      <c r="C3" s="109"/>
      <c r="D3" s="109"/>
      <c r="E3" s="110">
        <v>1536.2</v>
      </c>
      <c r="F3" s="110">
        <v>56.81</v>
      </c>
      <c r="G3" s="110">
        <v>10</v>
      </c>
      <c r="H3" s="110">
        <v>10</v>
      </c>
    </row>
    <row r="4" spans="1:8" ht="15" customHeight="1">
      <c r="A4" s="110">
        <v>649</v>
      </c>
      <c r="B4" s="120">
        <v>6211</v>
      </c>
      <c r="C4" s="110"/>
      <c r="D4" s="110"/>
      <c r="E4" s="110">
        <v>183643.6766666664</v>
      </c>
      <c r="F4" s="110">
        <v>7911.0842142857182</v>
      </c>
      <c r="G4" s="110">
        <v>635.54980952380822</v>
      </c>
      <c r="H4" s="110">
        <v>635.54980952380822</v>
      </c>
    </row>
    <row r="5" spans="1:8" ht="15" customHeight="1">
      <c r="A5" s="110">
        <v>2</v>
      </c>
      <c r="B5" s="120">
        <v>6302</v>
      </c>
      <c r="C5" s="110"/>
      <c r="D5" s="110"/>
      <c r="E5" s="110">
        <v>673.33333333333201</v>
      </c>
      <c r="F5" s="110">
        <v>33.6666666666666</v>
      </c>
      <c r="G5" s="110">
        <v>0</v>
      </c>
      <c r="H5" s="110">
        <v>0</v>
      </c>
    </row>
    <row r="6" spans="1:8" ht="15" customHeight="1">
      <c r="A6" s="110">
        <v>2</v>
      </c>
      <c r="B6" s="120">
        <v>6304</v>
      </c>
      <c r="C6" s="110"/>
      <c r="D6" s="110"/>
      <c r="E6" s="110">
        <v>807.13333333333298</v>
      </c>
      <c r="F6" s="110">
        <v>40.356666666666648</v>
      </c>
      <c r="G6" s="110">
        <v>0</v>
      </c>
      <c r="H6" s="110">
        <v>0</v>
      </c>
    </row>
    <row r="7" spans="1:8" ht="15" customHeight="1">
      <c r="A7" s="110">
        <v>1</v>
      </c>
      <c r="B7" s="120">
        <v>580610</v>
      </c>
      <c r="C7" s="110"/>
      <c r="D7" s="110"/>
      <c r="E7" s="110">
        <v>-570.54285714285288</v>
      </c>
      <c r="F7" s="110">
        <v>-55.093333333333092</v>
      </c>
      <c r="G7" s="110">
        <v>13.283095238095225</v>
      </c>
      <c r="H7" s="110">
        <v>13.283095238095225</v>
      </c>
    </row>
    <row r="8" spans="1:8" ht="15" customHeight="1">
      <c r="A8" s="109">
        <v>233</v>
      </c>
      <c r="B8" s="1">
        <v>610510</v>
      </c>
      <c r="C8" s="109"/>
      <c r="D8" s="109"/>
      <c r="E8" s="110">
        <v>131500.61000000002</v>
      </c>
      <c r="F8" s="110">
        <v>5490.8265000000047</v>
      </c>
      <c r="G8" s="110">
        <v>542.10200000000009</v>
      </c>
      <c r="H8" s="110">
        <v>542.10200000000009</v>
      </c>
    </row>
    <row r="9" spans="1:8" ht="15" customHeight="1">
      <c r="A9" s="110">
        <v>142</v>
      </c>
      <c r="B9" s="120">
        <v>611420</v>
      </c>
      <c r="C9" s="110"/>
      <c r="D9" s="110"/>
      <c r="E9" s="110">
        <v>39204.902857142806</v>
      </c>
      <c r="F9" s="110">
        <v>1637.1279999999983</v>
      </c>
      <c r="G9" s="110">
        <v>161.55857142857118</v>
      </c>
      <c r="H9" s="110">
        <v>161.55857142857118</v>
      </c>
    </row>
    <row r="10" spans="1:8" ht="15" customHeight="1">
      <c r="A10" s="110">
        <v>3</v>
      </c>
      <c r="B10" s="120">
        <v>620920</v>
      </c>
      <c r="C10" s="110"/>
      <c r="D10" s="110"/>
      <c r="E10" s="110">
        <v>1201.6952380952362</v>
      </c>
      <c r="F10" s="110">
        <v>42.428571428571352</v>
      </c>
      <c r="G10" s="110">
        <v>8.8280952380952247</v>
      </c>
      <c r="H10" s="110">
        <v>8.8280952380952247</v>
      </c>
    </row>
    <row r="11" spans="1:8" ht="15" customHeight="1">
      <c r="A11" s="110">
        <v>825</v>
      </c>
      <c r="B11" s="120">
        <v>621132</v>
      </c>
      <c r="C11" s="110"/>
      <c r="D11" s="110"/>
      <c r="E11" s="110">
        <v>300993.72999999975</v>
      </c>
      <c r="F11" s="110">
        <v>10732.300119047621</v>
      </c>
      <c r="G11" s="110">
        <v>2158.6931904761846</v>
      </c>
      <c r="H11" s="110">
        <v>2158.6931904761846</v>
      </c>
    </row>
    <row r="12" spans="1:8" ht="15" customHeight="1">
      <c r="A12" s="110">
        <v>6</v>
      </c>
      <c r="B12" s="120">
        <v>621133</v>
      </c>
      <c r="C12" s="110"/>
      <c r="D12" s="110"/>
      <c r="E12" s="110">
        <v>1570.8380952380919</v>
      </c>
      <c r="F12" s="110">
        <v>64.684761904761743</v>
      </c>
      <c r="G12" s="110">
        <v>6.9285714285714244</v>
      </c>
      <c r="H12" s="110">
        <v>6.9285714285714244</v>
      </c>
    </row>
    <row r="13" spans="1:8" ht="15" customHeight="1">
      <c r="A13" s="110">
        <v>0</v>
      </c>
      <c r="B13" s="120">
        <v>621139</v>
      </c>
      <c r="C13" s="110"/>
      <c r="D13" s="110"/>
      <c r="E13" s="110">
        <v>-77.14285714285694</v>
      </c>
      <c r="F13" s="110">
        <v>-27.619047619047596</v>
      </c>
      <c r="G13" s="110">
        <v>11.880952380952374</v>
      </c>
      <c r="H13" s="110">
        <v>11.880952380952374</v>
      </c>
    </row>
    <row r="14" spans="1:8" ht="15" customHeight="1">
      <c r="A14" s="110">
        <v>2</v>
      </c>
      <c r="B14" s="120">
        <v>630260</v>
      </c>
      <c r="C14" s="110"/>
      <c r="D14" s="110"/>
      <c r="E14" s="110">
        <v>987.619047619046</v>
      </c>
      <c r="F14" s="110">
        <v>27.238095238095202</v>
      </c>
      <c r="G14" s="110">
        <v>11.07142857142855</v>
      </c>
      <c r="H14" s="110">
        <v>11.07142857142855</v>
      </c>
    </row>
    <row r="15" spans="1:8" ht="15" customHeight="1">
      <c r="A15" s="110">
        <v>1</v>
      </c>
      <c r="B15" s="120">
        <v>630419</v>
      </c>
      <c r="C15" s="110"/>
      <c r="D15" s="110"/>
      <c r="E15" s="110">
        <v>506.666666666666</v>
      </c>
      <c r="F15" s="110">
        <v>25.3333333333333</v>
      </c>
      <c r="G15" s="110">
        <v>0</v>
      </c>
      <c r="H15" s="110">
        <v>0</v>
      </c>
    </row>
    <row r="16" spans="1:8" ht="15" customHeight="1">
      <c r="A16" s="110">
        <v>11</v>
      </c>
      <c r="B16" s="120">
        <v>630492</v>
      </c>
      <c r="C16" s="110"/>
      <c r="D16" s="110"/>
      <c r="E16" s="110">
        <v>3354.7904761904692</v>
      </c>
      <c r="F16" s="110">
        <v>105.92999999999975</v>
      </c>
      <c r="G16" s="110">
        <v>30.904761904761852</v>
      </c>
      <c r="H16" s="110">
        <v>30.904761904761852</v>
      </c>
    </row>
    <row r="17" spans="1:8" ht="15" customHeight="1">
      <c r="A17" s="109">
        <v>3</v>
      </c>
      <c r="B17" s="118">
        <v>52082110</v>
      </c>
      <c r="C17" s="109"/>
      <c r="D17" s="109"/>
      <c r="E17" s="110">
        <v>1131.44</v>
      </c>
      <c r="F17" s="110">
        <v>38.048000000000002</v>
      </c>
      <c r="G17" s="110">
        <v>9.2620000000000005</v>
      </c>
      <c r="H17" s="110">
        <v>9.2620000000000005</v>
      </c>
    </row>
    <row r="18" spans="1:8" ht="15" customHeight="1">
      <c r="A18" s="109">
        <v>14</v>
      </c>
      <c r="B18" s="1">
        <v>52082210</v>
      </c>
      <c r="C18" s="109"/>
      <c r="D18" s="109"/>
      <c r="E18" s="110">
        <v>5702.0000000000009</v>
      </c>
      <c r="F18" s="110">
        <v>163.19200000000001</v>
      </c>
      <c r="G18" s="110">
        <v>60.954000000000008</v>
      </c>
      <c r="H18" s="110">
        <v>60.954000000000008</v>
      </c>
    </row>
    <row r="19" spans="1:8" ht="15" customHeight="1">
      <c r="A19" s="109">
        <v>13</v>
      </c>
      <c r="B19" s="1">
        <v>52083110</v>
      </c>
      <c r="C19" s="109"/>
      <c r="D19" s="109"/>
      <c r="E19" s="110">
        <v>6600</v>
      </c>
      <c r="F19" s="110">
        <v>303.80899999999997</v>
      </c>
      <c r="G19" s="110">
        <v>13.095500000000001</v>
      </c>
      <c r="H19" s="110">
        <v>13.095500000000001</v>
      </c>
    </row>
    <row r="20" spans="1:8" ht="15" customHeight="1">
      <c r="A20" s="110">
        <v>503</v>
      </c>
      <c r="B20" s="123">
        <v>52083210</v>
      </c>
      <c r="C20" s="110"/>
      <c r="D20" s="110"/>
      <c r="E20" s="105">
        <v>136049.05000000002</v>
      </c>
      <c r="F20" s="105">
        <v>5620</v>
      </c>
      <c r="G20" s="105">
        <v>591.08699999999999</v>
      </c>
      <c r="H20" s="105">
        <v>591.08699999999999</v>
      </c>
    </row>
    <row r="21" spans="1:8" ht="15" customHeight="1">
      <c r="A21" s="109">
        <v>19</v>
      </c>
      <c r="B21" s="1">
        <v>52092910</v>
      </c>
      <c r="C21" s="109"/>
      <c r="D21" s="109"/>
      <c r="E21" s="110">
        <v>9846.7799999999988</v>
      </c>
      <c r="F21" s="110">
        <v>356.62199999999996</v>
      </c>
      <c r="G21" s="110">
        <v>67.858500000000006</v>
      </c>
      <c r="H21" s="110">
        <v>67.858500000000006</v>
      </c>
    </row>
    <row r="22" spans="1:8" ht="15" customHeight="1">
      <c r="A22" s="109">
        <v>2</v>
      </c>
      <c r="B22" s="118">
        <v>61119090</v>
      </c>
      <c r="C22" s="109"/>
      <c r="D22" s="109"/>
      <c r="E22" s="110">
        <v>752.38</v>
      </c>
      <c r="F22" s="110">
        <v>37.619</v>
      </c>
      <c r="G22" s="110">
        <v>0</v>
      </c>
      <c r="H22" s="110">
        <v>0</v>
      </c>
    </row>
    <row r="23" spans="1:8" ht="15" customHeight="1" thickBot="1">
      <c r="E23" s="127">
        <f t="shared" ref="E23:H23" si="0">SUM(E2:E22)</f>
        <v>825788.49333333271</v>
      </c>
      <c r="F23" s="127">
        <f t="shared" si="0"/>
        <v>32623.031214285722</v>
      </c>
      <c r="G23" s="127">
        <f t="shared" si="0"/>
        <v>4333.05747619047</v>
      </c>
      <c r="H23" s="127">
        <f t="shared" si="0"/>
        <v>4333.05747619047</v>
      </c>
    </row>
    <row r="24" spans="1:8" ht="15" customHeight="1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Credit Note</vt:lpstr>
      <vt:lpstr>SALES</vt:lpstr>
      <vt:lpstr>TAX CALCULATION</vt:lpstr>
      <vt:lpstr>B2B</vt:lpstr>
      <vt:lpstr>Company Wise Sales</vt:lpstr>
      <vt:lpstr>conso sales</vt:lpstr>
      <vt:lpstr>HSN CODE</vt:lpstr>
      <vt:lpstr>Documents</vt:lpstr>
      <vt:lpstr>conso hsn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</dc:creator>
  <cp:lastModifiedBy>smart</cp:lastModifiedBy>
  <cp:lastPrinted>2022-03-11T10:35:21Z</cp:lastPrinted>
  <dcterms:created xsi:type="dcterms:W3CDTF">2017-08-24T16:12:12Z</dcterms:created>
  <dcterms:modified xsi:type="dcterms:W3CDTF">2026-09-15T06:15:28Z</dcterms:modified>
</cp:coreProperties>
</file>